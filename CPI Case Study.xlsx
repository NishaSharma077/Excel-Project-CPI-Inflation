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F447D8DF-F849-4497-B498-121BC274A6BF}" xr6:coauthVersionLast="47" xr6:coauthVersionMax="47" xr10:uidLastSave="{00000000-0000-0000-0000-000000000000}"/>
  <bookViews>
    <workbookView xWindow="-108" yWindow="-108" windowWidth="23256" windowHeight="12576" firstSheet="3" activeTab="10" xr2:uid="{6D8633AB-93A4-4CE1-B191-DB853E5A0743}"/>
  </bookViews>
  <sheets>
    <sheet name="CPI index" sheetId="1" r:id="rId1"/>
    <sheet name="Data Dictionary" sheetId="2" r:id="rId2"/>
    <sheet name="Problem Statement" sheetId="3" r:id="rId3"/>
    <sheet name="Chart 1" sheetId="4" r:id="rId4"/>
    <sheet name="Chart 2" sheetId="5" r:id="rId5"/>
    <sheet name="Chart 3.1" sheetId="6" r:id="rId6"/>
    <sheet name="Chart 3.2" sheetId="7" r:id="rId7"/>
    <sheet name="Chart 4.1" sheetId="8" r:id="rId8"/>
    <sheet name="Chart 4.2" sheetId="9" r:id="rId9"/>
    <sheet name="Chart 5" sheetId="12" r:id="rId10"/>
    <sheet name="Dashboard" sheetId="13" r:id="rId11"/>
  </sheets>
  <definedNames>
    <definedName name="_xlnm._FilterDatabase" localSheetId="3" hidden="1">'Chart 1'!$A$1:$AD$373</definedName>
    <definedName name="_xlnm._FilterDatabase" localSheetId="4" hidden="1">'Chart 2'!$A$1:$AD$373</definedName>
    <definedName name="_xlnm._FilterDatabase" localSheetId="5" hidden="1">'Chart 3.1'!$A$1:$AF$373</definedName>
    <definedName name="_xlnm._FilterDatabase" localSheetId="6" hidden="1">'Chart 3.2'!$A$1:$AD$373</definedName>
    <definedName name="_xlnm._FilterDatabase" localSheetId="7" hidden="1">'Chart 4.1'!$A$1:$AE$373</definedName>
    <definedName name="_xlnm._FilterDatabase" localSheetId="9" hidden="1">'Chart 5'!$A$1:$AF$373</definedName>
    <definedName name="Slicer_Month">#N/A</definedName>
    <definedName name="Slicer_Year">#N/A</definedName>
  </definedNames>
  <calcPr calcId="191029"/>
  <pivotCaches>
    <pivotCache cacheId="0" r:id="rId12"/>
    <pivotCache cacheId="1" r:id="rId13"/>
    <pivotCache cacheId="2" r:id="rId14"/>
    <pivotCache cacheId="3" r:id="rId15"/>
    <pivotCache cacheId="4" r:id="rId16"/>
    <pivotCache cacheId="13" r:id="rId17"/>
    <pivotCache cacheId="2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1" i="1" l="1"/>
  <c r="AF9" i="1"/>
  <c r="AF7" i="1"/>
  <c r="AF5" i="1"/>
  <c r="AF3" i="1"/>
  <c r="AT316" i="12"/>
  <c r="AT313" i="12"/>
  <c r="AT310" i="12"/>
  <c r="AT307" i="12"/>
  <c r="AT304" i="12"/>
  <c r="AT301" i="12"/>
  <c r="AT298" i="12"/>
  <c r="AT295" i="12"/>
  <c r="AT292" i="12"/>
  <c r="AT289" i="12"/>
  <c r="AQ373" i="12"/>
  <c r="AQ370" i="12"/>
  <c r="AQ367" i="12"/>
  <c r="AQ364" i="12"/>
  <c r="AQ361" i="12"/>
  <c r="AQ358" i="12"/>
  <c r="AQ355" i="12"/>
  <c r="AQ352" i="12"/>
  <c r="AQ349" i="12"/>
  <c r="AQ346" i="12"/>
  <c r="AQ343" i="12"/>
  <c r="AQ340" i="12"/>
  <c r="AQ337" i="12"/>
  <c r="AQ334" i="12"/>
  <c r="AQ331" i="12"/>
  <c r="AQ328" i="12"/>
  <c r="AQ325" i="12"/>
  <c r="AQ322" i="12"/>
  <c r="AQ319" i="12"/>
  <c r="AQ316" i="12"/>
  <c r="AQ313" i="12"/>
  <c r="AQ310" i="12"/>
  <c r="AQ307" i="12"/>
  <c r="AQ304" i="12"/>
  <c r="AQ301" i="12"/>
  <c r="AQ298" i="12"/>
  <c r="AQ295" i="12"/>
  <c r="AP373" i="12"/>
  <c r="AP370" i="12"/>
  <c r="AP367" i="12"/>
  <c r="AP364" i="12"/>
  <c r="AP361" i="12"/>
  <c r="AP358" i="12"/>
  <c r="AP355" i="12"/>
  <c r="AP352" i="12"/>
  <c r="AP349" i="12"/>
  <c r="AP346" i="12"/>
  <c r="AP343" i="12"/>
  <c r="AP340" i="12"/>
  <c r="AP337" i="12"/>
  <c r="AP334" i="12"/>
  <c r="AP331" i="12"/>
  <c r="AP328" i="12"/>
  <c r="AP325" i="12"/>
  <c r="AP322" i="12"/>
  <c r="AP319" i="12"/>
  <c r="AP316" i="12"/>
  <c r="AP313" i="12"/>
  <c r="AP310" i="12"/>
  <c r="AP307" i="12"/>
  <c r="AP304" i="12"/>
  <c r="AP301" i="12"/>
  <c r="AP298" i="12"/>
  <c r="AP295" i="12"/>
  <c r="AO373" i="12"/>
  <c r="AO370" i="12"/>
  <c r="AO367" i="12"/>
  <c r="AO364" i="12"/>
  <c r="AO361" i="12"/>
  <c r="AO358" i="12"/>
  <c r="AO355" i="12"/>
  <c r="AO352" i="12"/>
  <c r="AO349" i="12"/>
  <c r="AO346" i="12"/>
  <c r="AO343" i="12"/>
  <c r="AO340" i="12"/>
  <c r="AO337" i="12"/>
  <c r="AO334" i="12"/>
  <c r="AO331" i="12"/>
  <c r="AO328" i="12"/>
  <c r="AO325" i="12"/>
  <c r="AO322" i="12"/>
  <c r="AO319" i="12"/>
  <c r="AO316" i="12"/>
  <c r="AO313" i="12"/>
  <c r="AO310" i="12"/>
  <c r="AO307" i="12"/>
  <c r="AO304" i="12"/>
  <c r="AO301" i="12"/>
  <c r="AO298" i="12"/>
  <c r="AO295" i="12"/>
  <c r="AN373" i="12"/>
  <c r="AN370" i="12"/>
  <c r="AN367" i="12"/>
  <c r="AN364" i="12"/>
  <c r="AN361" i="12"/>
  <c r="AN358" i="12"/>
  <c r="AN355" i="12"/>
  <c r="AN352" i="12"/>
  <c r="AN349" i="12"/>
  <c r="AN346" i="12"/>
  <c r="AN343" i="12"/>
  <c r="AN340" i="12"/>
  <c r="AN337" i="12"/>
  <c r="AN334" i="12"/>
  <c r="AN331" i="12"/>
  <c r="AN328" i="12"/>
  <c r="AN325" i="12"/>
  <c r="AN322" i="12"/>
  <c r="AN319" i="12"/>
  <c r="AN316" i="12"/>
  <c r="AN313" i="12"/>
  <c r="AN310" i="12"/>
  <c r="AN307" i="12"/>
  <c r="AN304" i="12"/>
  <c r="AN301" i="12"/>
  <c r="AN298" i="12"/>
  <c r="AN295" i="12"/>
  <c r="AM373" i="12"/>
  <c r="AM370" i="12"/>
  <c r="AM367" i="12"/>
  <c r="AM364" i="12"/>
  <c r="AM361" i="12"/>
  <c r="AM358" i="12"/>
  <c r="AM355" i="12"/>
  <c r="AM352" i="12"/>
  <c r="AM349" i="12"/>
  <c r="AM346" i="12"/>
  <c r="AM343" i="12"/>
  <c r="AM340" i="12"/>
  <c r="AM337" i="12"/>
  <c r="AM334" i="12"/>
  <c r="AM331" i="12"/>
  <c r="AM328" i="12"/>
  <c r="AM325" i="12"/>
  <c r="AM322" i="12"/>
  <c r="AM319" i="12"/>
  <c r="AM316" i="12"/>
  <c r="AM313" i="12"/>
  <c r="AM310" i="12"/>
  <c r="AM307" i="12"/>
  <c r="AM304" i="12"/>
  <c r="AM301" i="12"/>
  <c r="AM298" i="12"/>
  <c r="AM295" i="12"/>
  <c r="AL373" i="12"/>
  <c r="AL370" i="12"/>
  <c r="AL367" i="12"/>
  <c r="AL364" i="12"/>
  <c r="AL361" i="12"/>
  <c r="AL358" i="12"/>
  <c r="AL355" i="12"/>
  <c r="AL352" i="12"/>
  <c r="AL349" i="12"/>
  <c r="AL346" i="12"/>
  <c r="AL343" i="12"/>
  <c r="AL340" i="12"/>
  <c r="AL337" i="12"/>
  <c r="AL334" i="12"/>
  <c r="AL331" i="12"/>
  <c r="AL328" i="12"/>
  <c r="AL325" i="12"/>
  <c r="AL322" i="12"/>
  <c r="AL319" i="12"/>
  <c r="AL316" i="12"/>
  <c r="AL313" i="12"/>
  <c r="AL310" i="12"/>
  <c r="AL307" i="12"/>
  <c r="AL304" i="12"/>
  <c r="AL301" i="12"/>
  <c r="AL298" i="12"/>
  <c r="AL295" i="12"/>
  <c r="AK373" i="12"/>
  <c r="AK370" i="12"/>
  <c r="AK367" i="12"/>
  <c r="AK364" i="12"/>
  <c r="AK361" i="12"/>
  <c r="AK358" i="12"/>
  <c r="AK355" i="12"/>
  <c r="AK352" i="12"/>
  <c r="AK349" i="12"/>
  <c r="AK346" i="12"/>
  <c r="AK343" i="12"/>
  <c r="AK340" i="12"/>
  <c r="AK337" i="12"/>
  <c r="AK334" i="12"/>
  <c r="AK331" i="12"/>
  <c r="AK328" i="12"/>
  <c r="AK325" i="12"/>
  <c r="AK322" i="12"/>
  <c r="AK319" i="12"/>
  <c r="AK316" i="12"/>
  <c r="AK313" i="12"/>
  <c r="AK310" i="12"/>
  <c r="AK307" i="12"/>
  <c r="AK304" i="12"/>
  <c r="AK301" i="12"/>
  <c r="AK298" i="12"/>
  <c r="AK295" i="12"/>
  <c r="AQ292" i="12"/>
  <c r="AP292" i="12"/>
  <c r="AO292" i="12"/>
  <c r="AN292" i="12"/>
  <c r="AM292" i="12"/>
  <c r="AL292" i="12"/>
  <c r="AK292" i="12"/>
  <c r="AJ373" i="12"/>
  <c r="AJ370" i="12"/>
  <c r="AJ367" i="12"/>
  <c r="AJ364" i="12"/>
  <c r="AJ361" i="12"/>
  <c r="AJ358" i="12"/>
  <c r="AJ355" i="12"/>
  <c r="AJ352" i="12"/>
  <c r="AJ349" i="12"/>
  <c r="AJ346" i="12"/>
  <c r="AJ343" i="12"/>
  <c r="AJ340" i="12"/>
  <c r="AJ337" i="12"/>
  <c r="AJ334" i="12"/>
  <c r="AJ331" i="12"/>
  <c r="AJ328" i="12"/>
  <c r="AJ325" i="12"/>
  <c r="AJ322" i="12"/>
  <c r="AJ319" i="12"/>
  <c r="AJ316" i="12"/>
  <c r="AJ313" i="12"/>
  <c r="AJ310" i="12"/>
  <c r="AJ307" i="12"/>
  <c r="AJ304" i="12"/>
  <c r="AJ301" i="12"/>
  <c r="AJ298" i="12"/>
  <c r="AJ295" i="12"/>
  <c r="AJ292" i="12"/>
  <c r="AI373" i="12"/>
  <c r="AI370" i="12"/>
  <c r="AI367" i="12"/>
  <c r="AI364" i="12"/>
  <c r="AI361" i="12"/>
  <c r="AI358" i="12"/>
  <c r="AI355" i="12"/>
  <c r="AI352" i="12"/>
  <c r="AI349" i="12"/>
  <c r="AI346" i="12"/>
  <c r="AI343" i="12"/>
  <c r="AI340" i="12"/>
  <c r="AI337" i="12"/>
  <c r="AI334" i="12"/>
  <c r="AI331" i="12"/>
  <c r="AI328" i="12"/>
  <c r="AI325" i="12"/>
  <c r="AI322" i="12"/>
  <c r="AI319" i="12"/>
  <c r="AI316" i="12"/>
  <c r="AI313" i="12"/>
  <c r="AI310" i="12"/>
  <c r="AI307" i="12"/>
  <c r="AI304" i="12"/>
  <c r="AI301" i="12"/>
  <c r="AI298" i="12"/>
  <c r="AI295" i="12"/>
  <c r="AI292" i="12"/>
  <c r="AH373" i="12"/>
  <c r="AH370" i="12"/>
  <c r="AH367" i="12"/>
  <c r="AH364" i="12"/>
  <c r="AH361" i="12"/>
  <c r="AH358" i="12"/>
  <c r="AH355" i="12"/>
  <c r="AH352" i="12"/>
  <c r="AH349" i="12"/>
  <c r="AH346" i="12"/>
  <c r="AH343" i="12"/>
  <c r="AH340" i="12"/>
  <c r="AH337" i="12"/>
  <c r="AH334" i="12"/>
  <c r="AH331" i="12"/>
  <c r="AH328" i="12"/>
  <c r="AH325" i="12"/>
  <c r="AH322" i="12"/>
  <c r="AH319" i="12"/>
  <c r="AH316" i="12"/>
  <c r="AH313" i="12"/>
  <c r="AH310" i="12"/>
  <c r="AH307" i="12"/>
  <c r="AH304" i="12"/>
  <c r="AH301" i="12"/>
  <c r="AH298" i="12"/>
  <c r="AH295" i="12"/>
  <c r="AH292" i="12"/>
  <c r="AG373" i="12"/>
  <c r="AG370" i="12"/>
  <c r="AG367" i="12"/>
  <c r="AG364" i="12"/>
  <c r="AG361" i="12"/>
  <c r="AG358" i="12"/>
  <c r="AG355" i="12"/>
  <c r="AG352" i="12"/>
  <c r="AG349" i="12"/>
  <c r="AG346" i="12"/>
  <c r="AG343" i="12"/>
  <c r="AG340" i="12"/>
  <c r="AG337" i="12"/>
  <c r="AG334" i="12"/>
  <c r="AG331" i="12"/>
  <c r="AG328" i="12"/>
  <c r="AG325" i="12"/>
  <c r="AG322" i="12"/>
  <c r="AG319" i="12"/>
  <c r="AG316" i="12"/>
  <c r="AG313" i="12"/>
  <c r="AG310" i="12"/>
  <c r="AG307" i="12"/>
  <c r="AG304" i="12"/>
  <c r="AG301" i="12"/>
  <c r="AG298" i="12"/>
  <c r="AG295" i="12"/>
  <c r="AG292" i="12"/>
  <c r="P349" i="12"/>
  <c r="P313" i="12"/>
  <c r="P352" i="12"/>
  <c r="P316" i="12"/>
  <c r="P355" i="12"/>
  <c r="P319" i="12"/>
  <c r="P373" i="12"/>
  <c r="P337" i="12"/>
  <c r="P301" i="12"/>
  <c r="P367" i="12"/>
  <c r="P331" i="12"/>
  <c r="P295" i="12"/>
  <c r="P340" i="12"/>
  <c r="P304" i="12"/>
  <c r="P343" i="12"/>
  <c r="P307" i="12"/>
  <c r="P361" i="12"/>
  <c r="P325" i="12"/>
  <c r="P289" i="12"/>
  <c r="P364" i="12"/>
  <c r="P328" i="12"/>
  <c r="P292" i="12"/>
  <c r="P358" i="12"/>
  <c r="P322" i="12"/>
  <c r="P346" i="12"/>
  <c r="P310" i="12"/>
  <c r="P370" i="12"/>
  <c r="P334" i="12"/>
  <c r="P298" i="12"/>
  <c r="P373" i="8"/>
  <c r="P370" i="8"/>
  <c r="P367" i="8"/>
  <c r="P364" i="8"/>
  <c r="P361" i="8"/>
  <c r="P358" i="8"/>
  <c r="P355" i="8"/>
  <c r="P352" i="8"/>
  <c r="P349" i="8"/>
  <c r="P346" i="8"/>
  <c r="P343" i="8"/>
  <c r="P340" i="8"/>
  <c r="P337" i="8"/>
  <c r="P334" i="8"/>
  <c r="P331" i="8"/>
  <c r="P328" i="8"/>
  <c r="P325" i="8"/>
  <c r="P322" i="8"/>
  <c r="P319" i="8"/>
  <c r="P316" i="8"/>
  <c r="P313" i="8"/>
  <c r="P310" i="8"/>
  <c r="P307" i="8"/>
  <c r="P304" i="8"/>
  <c r="P301" i="8"/>
  <c r="P298" i="8"/>
  <c r="P295" i="8"/>
  <c r="P292" i="8"/>
  <c r="P289" i="8"/>
  <c r="P286" i="8"/>
  <c r="P283" i="8"/>
  <c r="P280" i="8"/>
  <c r="P277" i="8"/>
  <c r="P274" i="8"/>
  <c r="P271" i="8"/>
  <c r="P268" i="8"/>
  <c r="P265" i="8"/>
  <c r="P262" i="8"/>
  <c r="P259" i="8"/>
  <c r="P256" i="8"/>
  <c r="P253" i="8"/>
  <c r="P250" i="8"/>
  <c r="P247" i="8"/>
  <c r="P244" i="8"/>
  <c r="P241" i="8"/>
  <c r="P238" i="8"/>
  <c r="P235" i="8"/>
  <c r="P232" i="8"/>
  <c r="P229" i="8"/>
  <c r="P226" i="8"/>
  <c r="P223" i="8"/>
  <c r="P220" i="8"/>
  <c r="P217" i="8"/>
  <c r="P214" i="8"/>
  <c r="P211" i="8"/>
  <c r="P208" i="8"/>
  <c r="P205" i="8"/>
  <c r="P202" i="8"/>
  <c r="P199" i="8"/>
  <c r="P196" i="8"/>
  <c r="P193" i="8"/>
  <c r="P190" i="8"/>
  <c r="P187" i="8"/>
  <c r="P184" i="8"/>
  <c r="P181" i="8"/>
  <c r="P178" i="8"/>
  <c r="P175" i="8"/>
  <c r="P172" i="8"/>
  <c r="P169" i="8"/>
  <c r="P166" i="8"/>
  <c r="P163" i="8"/>
  <c r="P160" i="8"/>
  <c r="P157" i="8"/>
  <c r="P154" i="8"/>
  <c r="P151" i="8"/>
  <c r="P148" i="8"/>
  <c r="AJ373" i="8" l="1"/>
  <c r="AJ370" i="8"/>
  <c r="AJ367" i="8"/>
  <c r="AJ364" i="8"/>
  <c r="AJ361" i="8"/>
  <c r="AJ358" i="8"/>
  <c r="AJ355" i="8"/>
  <c r="AJ352" i="8"/>
  <c r="AJ349" i="8"/>
  <c r="AJ346" i="8"/>
  <c r="AJ343" i="8"/>
  <c r="AJ340" i="8"/>
  <c r="AJ337" i="8"/>
  <c r="AJ334" i="8"/>
  <c r="AJ331" i="8"/>
  <c r="AJ328" i="8"/>
  <c r="AJ325" i="8"/>
  <c r="AJ322" i="8"/>
  <c r="AJ319" i="8"/>
  <c r="AJ316" i="8"/>
  <c r="AJ313" i="8"/>
  <c r="AJ310" i="8"/>
  <c r="AJ307" i="8"/>
  <c r="AJ304" i="8"/>
  <c r="AJ295" i="8"/>
  <c r="AJ292" i="8"/>
  <c r="AJ289" i="8"/>
  <c r="AJ286" i="8"/>
  <c r="AJ283" i="8"/>
  <c r="AJ280" i="8"/>
  <c r="AJ277" i="8"/>
  <c r="AJ274" i="8"/>
  <c r="AJ271" i="8"/>
  <c r="AJ268" i="8"/>
  <c r="AJ259" i="8"/>
  <c r="AJ256" i="8"/>
  <c r="AJ253" i="8"/>
  <c r="AJ250" i="8"/>
  <c r="AJ247" i="8"/>
  <c r="AJ244" i="8"/>
  <c r="AJ241" i="8"/>
  <c r="AJ238" i="8"/>
  <c r="AJ235" i="8"/>
  <c r="AJ232" i="8"/>
  <c r="AJ229" i="8"/>
  <c r="AJ226" i="8"/>
  <c r="AJ223" i="8"/>
  <c r="AJ220" i="8"/>
  <c r="AJ217" i="8"/>
  <c r="AJ214" i="8"/>
  <c r="AJ211" i="8"/>
  <c r="AJ208" i="8"/>
  <c r="AJ205" i="8"/>
  <c r="AJ202" i="8"/>
  <c r="AJ199" i="8"/>
  <c r="AJ196" i="8"/>
  <c r="AJ193" i="8"/>
  <c r="AJ190" i="8"/>
  <c r="AJ187" i="8"/>
  <c r="AI373" i="8"/>
  <c r="AI370" i="8"/>
  <c r="AI367" i="8"/>
  <c r="AI364" i="8"/>
  <c r="AI361" i="8"/>
  <c r="AI358" i="8"/>
  <c r="AI355" i="8"/>
  <c r="AI352" i="8"/>
  <c r="AI349" i="8"/>
  <c r="AI346" i="8"/>
  <c r="AI343" i="8"/>
  <c r="AI340" i="8"/>
  <c r="AI337" i="8"/>
  <c r="AI334" i="8"/>
  <c r="AI331" i="8"/>
  <c r="AI328" i="8"/>
  <c r="AI325" i="8"/>
  <c r="AI322" i="8"/>
  <c r="AI319" i="8"/>
  <c r="AI316" i="8"/>
  <c r="AI313" i="8"/>
  <c r="AI310" i="8"/>
  <c r="AI307" i="8"/>
  <c r="AI304" i="8"/>
  <c r="AI295" i="8"/>
  <c r="AI292" i="8"/>
  <c r="AI289" i="8"/>
  <c r="AI286" i="8"/>
  <c r="AI283" i="8"/>
  <c r="AI280" i="8"/>
  <c r="AI277" i="8"/>
  <c r="AI274" i="8"/>
  <c r="AI271" i="8"/>
  <c r="AI268" i="8"/>
  <c r="AI259" i="8"/>
  <c r="AI256" i="8"/>
  <c r="AI253" i="8"/>
  <c r="AI250" i="8"/>
  <c r="AI247" i="8"/>
  <c r="AI244" i="8"/>
  <c r="AI241" i="8"/>
  <c r="AI238" i="8"/>
  <c r="AI235" i="8"/>
  <c r="AI232" i="8"/>
  <c r="AI229" i="8"/>
  <c r="AI226" i="8"/>
  <c r="AI223" i="8"/>
  <c r="AI220" i="8"/>
  <c r="AI217" i="8"/>
  <c r="AI214" i="8"/>
  <c r="AI211" i="8"/>
  <c r="AI208" i="8"/>
  <c r="AI205" i="8"/>
  <c r="AI202" i="8"/>
  <c r="AI199" i="8"/>
  <c r="AI196" i="8"/>
  <c r="AI193" i="8"/>
  <c r="AI190" i="8"/>
  <c r="AI187" i="8"/>
  <c r="AJ184" i="8"/>
  <c r="AI184" i="8"/>
  <c r="AH373" i="8"/>
  <c r="AH370" i="8"/>
  <c r="AH367" i="8"/>
  <c r="AH364" i="8"/>
  <c r="AH361" i="8"/>
  <c r="AH358" i="8"/>
  <c r="AH355" i="8"/>
  <c r="AH352" i="8"/>
  <c r="AH349" i="8"/>
  <c r="AH346" i="8"/>
  <c r="AH343" i="8"/>
  <c r="AH340" i="8"/>
  <c r="AH337" i="8"/>
  <c r="AH334" i="8"/>
  <c r="AH331" i="8"/>
  <c r="AH328" i="8"/>
  <c r="AH325" i="8"/>
  <c r="AH322" i="8"/>
  <c r="AH319" i="8"/>
  <c r="AH316" i="8"/>
  <c r="AH313" i="8"/>
  <c r="AH310" i="8"/>
  <c r="AH307" i="8"/>
  <c r="AH304" i="8"/>
  <c r="AH298" i="8"/>
  <c r="AH295" i="8"/>
  <c r="AH292" i="8"/>
  <c r="AH289" i="8"/>
  <c r="AH286" i="8"/>
  <c r="AH283" i="8"/>
  <c r="AH280" i="8"/>
  <c r="AH277" i="8"/>
  <c r="AH274" i="8"/>
  <c r="AH271" i="8"/>
  <c r="AH268" i="8"/>
  <c r="AH262" i="8"/>
  <c r="AH259" i="8"/>
  <c r="AH256" i="8"/>
  <c r="AH253" i="8"/>
  <c r="AH250" i="8"/>
  <c r="AH247" i="8"/>
  <c r="AH244" i="8"/>
  <c r="AH241" i="8"/>
  <c r="AH238" i="8"/>
  <c r="AH235" i="8"/>
  <c r="AH232" i="8"/>
  <c r="AH229" i="8"/>
  <c r="AH226" i="8"/>
  <c r="AH223" i="8"/>
  <c r="AH220" i="8"/>
  <c r="AH217" i="8"/>
  <c r="AH214" i="8"/>
  <c r="AH211" i="8"/>
  <c r="AH208" i="8"/>
  <c r="AH205" i="8"/>
  <c r="AH202" i="8"/>
  <c r="AH199" i="8"/>
  <c r="AH196" i="8"/>
  <c r="AH193" i="8"/>
  <c r="AH190" i="8"/>
  <c r="AH187" i="8"/>
  <c r="AH184" i="8"/>
  <c r="AG373" i="8"/>
  <c r="AG370" i="8"/>
  <c r="AG367" i="8"/>
  <c r="AG364" i="8"/>
  <c r="AG361" i="8"/>
  <c r="AG358" i="8"/>
  <c r="AG355" i="8"/>
  <c r="AG352" i="8"/>
  <c r="AG349" i="8"/>
  <c r="AG346" i="8"/>
  <c r="AG343" i="8"/>
  <c r="AG340" i="8"/>
  <c r="AG337" i="8"/>
  <c r="AG334" i="8"/>
  <c r="AG331" i="8"/>
  <c r="AG328" i="8"/>
  <c r="AG325" i="8"/>
  <c r="AG322" i="8"/>
  <c r="AG319" i="8"/>
  <c r="AG316" i="8"/>
  <c r="AG313" i="8"/>
  <c r="AG310" i="8"/>
  <c r="AG307" i="8"/>
  <c r="AG304" i="8"/>
  <c r="AG295" i="8"/>
  <c r="AG292" i="8"/>
  <c r="AG289" i="8"/>
  <c r="AG286" i="8"/>
  <c r="AG283" i="8"/>
  <c r="AG280" i="8"/>
  <c r="AG277" i="8"/>
  <c r="AG274" i="8"/>
  <c r="AG271" i="8"/>
  <c r="AG268" i="8"/>
  <c r="AG259" i="8"/>
  <c r="AG256" i="8"/>
  <c r="AG253" i="8"/>
  <c r="AG250" i="8"/>
  <c r="AG247" i="8"/>
  <c r="AG244" i="8"/>
  <c r="AG241" i="8"/>
  <c r="AG238" i="8"/>
  <c r="AG235" i="8"/>
  <c r="AG232" i="8"/>
  <c r="AG229" i="8"/>
  <c r="AG226" i="8"/>
  <c r="AG223" i="8"/>
  <c r="AG220" i="8"/>
  <c r="AG217" i="8"/>
  <c r="AG214" i="8"/>
  <c r="AG211" i="8"/>
  <c r="AG208" i="8"/>
  <c r="AG205" i="8"/>
  <c r="AG202" i="8"/>
  <c r="AG199" i="8"/>
  <c r="AG196" i="8"/>
  <c r="AG193" i="8"/>
  <c r="AG190" i="8"/>
  <c r="AG187" i="8"/>
  <c r="AG184" i="8"/>
  <c r="AF373" i="8"/>
  <c r="AF370" i="8"/>
  <c r="AF367" i="8"/>
  <c r="AF364" i="8"/>
  <c r="AF361" i="8"/>
  <c r="AF358" i="8"/>
  <c r="AF355" i="8"/>
  <c r="AF352" i="8"/>
  <c r="AF349" i="8"/>
  <c r="AF346" i="8"/>
  <c r="AF343" i="8"/>
  <c r="AF340" i="8"/>
  <c r="AF337" i="8"/>
  <c r="AF334" i="8"/>
  <c r="AF331" i="8"/>
  <c r="AF328" i="8"/>
  <c r="AF325" i="8"/>
  <c r="AF322" i="8"/>
  <c r="AF319" i="8"/>
  <c r="AF316" i="8"/>
  <c r="AF313" i="8"/>
  <c r="AF310" i="8"/>
  <c r="AF307" i="8"/>
  <c r="AF304" i="8"/>
  <c r="AF298" i="8"/>
  <c r="AF295" i="8"/>
  <c r="AF292" i="8"/>
  <c r="AF289" i="8"/>
  <c r="AF286" i="8"/>
  <c r="AF283" i="8"/>
  <c r="AF280" i="8"/>
  <c r="AF277" i="8"/>
  <c r="AF274" i="8"/>
  <c r="AF271" i="8"/>
  <c r="AF268" i="8"/>
  <c r="AF262" i="8"/>
  <c r="AF259" i="8"/>
  <c r="AL295" i="8" s="1"/>
  <c r="AF256" i="8"/>
  <c r="AF253" i="8"/>
  <c r="AF250" i="8"/>
  <c r="AF247" i="8"/>
  <c r="AF244" i="8"/>
  <c r="AF241" i="8"/>
  <c r="AF238" i="8"/>
  <c r="AF235" i="8"/>
  <c r="AF232" i="8"/>
  <c r="AF229" i="8"/>
  <c r="AF226" i="8"/>
  <c r="AF223" i="8"/>
  <c r="AF220" i="8"/>
  <c r="AF217" i="8"/>
  <c r="AF214" i="8"/>
  <c r="AF211" i="8"/>
  <c r="AF208" i="8"/>
  <c r="AF205" i="8"/>
  <c r="AF202" i="8"/>
  <c r="AF199" i="8"/>
  <c r="AF196" i="8"/>
  <c r="AF193" i="8"/>
  <c r="AF190" i="8"/>
  <c r="AF187" i="8"/>
  <c r="AF184" i="8"/>
  <c r="D378" i="7"/>
  <c r="D379" i="7"/>
  <c r="D380" i="7"/>
  <c r="D381" i="7"/>
  <c r="D382" i="7"/>
  <c r="D383" i="7"/>
  <c r="D384" i="7"/>
  <c r="D385" i="7"/>
  <c r="D386" i="7"/>
  <c r="D387" i="7"/>
  <c r="D388" i="7"/>
  <c r="D377" i="7"/>
  <c r="C377" i="7" a="1"/>
  <c r="C377" i="7" s="1"/>
  <c r="B377" i="7" a="1"/>
  <c r="B377" i="7" s="1"/>
  <c r="A377" i="7" a="1"/>
  <c r="A377" i="7" s="1"/>
  <c r="C379" i="6"/>
  <c r="C380" i="6"/>
  <c r="C381" i="6"/>
  <c r="C382" i="6"/>
  <c r="C383" i="6"/>
  <c r="C384" i="6"/>
  <c r="C385" i="6"/>
  <c r="C386" i="6"/>
  <c r="C387" i="6"/>
  <c r="C388" i="6"/>
  <c r="C389" i="6"/>
  <c r="C378" i="6"/>
  <c r="Q373" i="6"/>
  <c r="Q370" i="6"/>
  <c r="Q367" i="6"/>
  <c r="Q364" i="6"/>
  <c r="Q361" i="6"/>
  <c r="Q358" i="6"/>
  <c r="Q355" i="6"/>
  <c r="Q352" i="6"/>
  <c r="Q349" i="6"/>
  <c r="Q346" i="6"/>
  <c r="Q343" i="6"/>
  <c r="Q340" i="6"/>
  <c r="Q337" i="6"/>
  <c r="P373" i="6"/>
  <c r="P370" i="6"/>
  <c r="P367" i="6"/>
  <c r="P364" i="6"/>
  <c r="P361" i="6"/>
  <c r="P358" i="6"/>
  <c r="P355" i="6"/>
  <c r="P352" i="6"/>
  <c r="P349" i="6"/>
  <c r="P346" i="6"/>
  <c r="P343" i="6"/>
  <c r="P340" i="6"/>
  <c r="P337" i="6"/>
  <c r="B383" i="5"/>
  <c r="B382" i="5"/>
  <c r="C382" i="5" s="1"/>
  <c r="B381" i="5"/>
  <c r="B380" i="5"/>
  <c r="B379" i="5"/>
  <c r="B378" i="5"/>
  <c r="C378" i="5" s="1"/>
  <c r="B377" i="5"/>
  <c r="AE375" i="5"/>
  <c r="C377" i="5" s="1"/>
  <c r="B382" i="4" a="1"/>
  <c r="B382" i="4" s="1"/>
  <c r="A383" i="4" a="1"/>
  <c r="A383" i="4" s="1"/>
  <c r="AF373" i="4"/>
  <c r="AE373" i="4"/>
  <c r="A3" i="2" a="1"/>
  <c r="B32" i="2" s="1"/>
  <c r="AL301" i="8" l="1"/>
  <c r="AL298" i="8"/>
  <c r="C377" i="8"/>
  <c r="C378" i="8"/>
  <c r="C379" i="5"/>
  <c r="C383" i="5"/>
  <c r="C380" i="5"/>
  <c r="B380" i="8"/>
  <c r="C381" i="5"/>
  <c r="A3" i="2"/>
  <c r="B9" i="2"/>
  <c r="B13" i="2"/>
  <c r="B17" i="2"/>
  <c r="B21" i="2"/>
  <c r="B25" i="2"/>
  <c r="B29" i="2"/>
  <c r="B6" i="2"/>
  <c r="B10" i="2"/>
  <c r="B14" i="2"/>
  <c r="B18" i="2"/>
  <c r="B22" i="2"/>
  <c r="B26" i="2"/>
  <c r="B30" i="2"/>
  <c r="B7" i="2"/>
  <c r="B11" i="2"/>
  <c r="B15" i="2"/>
  <c r="B19" i="2"/>
  <c r="B23" i="2"/>
  <c r="B27" i="2"/>
  <c r="B31" i="2"/>
  <c r="B8" i="2"/>
  <c r="B12" i="2"/>
  <c r="B16" i="2"/>
  <c r="B20" i="2"/>
  <c r="B24" i="2"/>
  <c r="B28" i="2"/>
  <c r="C380" i="8"/>
  <c r="C381" i="8"/>
  <c r="B381" i="8"/>
  <c r="B379" i="8"/>
  <c r="B378" i="8"/>
  <c r="B377" i="8"/>
  <c r="C379"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<sst xmlns="http://schemas.openxmlformats.org/spreadsheetml/2006/main" count="7409" uniqueCount="183">
  <si>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</si>
  <si>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</si>
  <si>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</si>
  <si>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</si>
  <si>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</si>
  <si>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</si>
  <si>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</si>
  <si>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</si>
  <si>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</si>
  <si>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</si>
  <si>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</si>
  <si>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</si>
  <si>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</si>
  <si>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</si>
  <si>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</si>
  <si>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</si>
  <si>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</si>
  <si>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</si>
  <si>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</si>
  <si>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</si>
  <si>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</si>
  <si>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</si>
  <si>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</si>
  <si>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</si>
  <si>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</si>
  <si>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</si>
  <si>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</si>
  <si>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</si>
  <si>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</si>
  <si>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</si>
  <si>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</si>
  <si>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</si>
  <si>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</si>
  <si>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</si>
  <si>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</si>
  <si>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</si>
  <si>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</si>
  <si>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</si>
  <si>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</si>
  <si>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</si>
  <si>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</si>
  <si>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</si>
  <si>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</si>
  <si>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</si>
  <si>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</si>
  <si>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</si>
  <si>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</si>
  <si>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</si>
  <si>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</si>
  <si>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Column</t>
  </si>
  <si>
    <t>Meaning</t>
  </si>
  <si>
    <t>Area/category</t>
  </si>
  <si>
    <t>CPI for</t>
  </si>
  <si>
    <t>calender year</t>
  </si>
  <si>
    <t>month</t>
  </si>
  <si>
    <t>Observations</t>
  </si>
  <si>
    <t>There are a few missing values in every numeric column like 3 and 6.</t>
  </si>
  <si>
    <t>The housing column has 122 missing values.</t>
  </si>
  <si>
    <t>Contribution of Broader Categories:</t>
  </si>
  <si>
    <t>Clarify: Find out how much each main group (food, housing, fuel, etc.) adds to overall CPI.</t>
  </si>
  <si>
    <t>Example: If food index = 105, clothing = 102, housing = 110, total = 105 + 102 + 110 = 317. Food’s contribution = (105/317)*100 ≈ 33%.</t>
  </si>
  <si>
    <t>Problem Statement</t>
  </si>
  <si>
    <t>Year-on-Year CPI Increase:</t>
  </si>
  <si>
    <t>Contribution of Broader Categories towards CPI Basket</t>
  </si>
  <si>
    <t>Year-on-Year CPI Inflation Trend</t>
  </si>
  <si>
    <t>Clarify: Check how much the overall CPI has increased every year from 2017.</t>
  </si>
  <si>
    <t>Analyze month-on-month (MoM) inflation</t>
  </si>
  <si>
    <t>Example: 2018 CPI = 110, 2017 CPI = 100; YoY rise = (110-100)/100*100 = 10%. Identify which year has the highest increase and explain why (e.g., supply chain issues in COVID).</t>
  </si>
  <si>
    <t>Absolute change in inflation</t>
  </si>
  <si>
    <t>Food Price Analysis (May 2022–May 2023):</t>
  </si>
  <si>
    <t>Investigate how the onset and progression of the COVID-19 pandemic affected inflation rates in India.</t>
  </si>
  <si>
    <t>changes in imported crude oil prices are related to changes in India's CPI inflation during 2021–2023.</t>
  </si>
  <si>
    <t>Clarify: Track food category’s price changes each month, find months with max and min increase, and largest sub-category impact.</t>
  </si>
  <si>
    <t>Example: If milk increased by 8% and vegetables by 3%, milk is the biggest sub-category contributor.</t>
  </si>
  <si>
    <t>Impact of COVID-19:</t>
  </si>
  <si>
    <t>Clarify: Compare inflation before and after March 2020, especially in healthcare and food.</t>
  </si>
  <si>
    <t>Example: Healthcare CPI growth jumps after March 2020, indicating COVID impact.</t>
  </si>
  <si>
    <t>Global Economic Events (like oil prices):</t>
  </si>
  <si>
    <t>Clarify: Analyze how international events affect Indian inflation, especially via imported oil (2021–2023).</t>
  </si>
  <si>
    <t>Example: Oil prices spike globally, India’s fuel CPI increases, overall inflation rises.</t>
  </si>
  <si>
    <t>Food Bucket</t>
  </si>
  <si>
    <t>Clothing Bucket</t>
  </si>
  <si>
    <t>Category</t>
  </si>
  <si>
    <t>Index</t>
  </si>
  <si>
    <t>Pan, Tobaoo</t>
  </si>
  <si>
    <t>Fuel and Light</t>
  </si>
  <si>
    <t>Household</t>
  </si>
  <si>
    <t>Row Labels</t>
  </si>
  <si>
    <t>Grand Total</t>
  </si>
  <si>
    <t>% of Contribution</t>
  </si>
  <si>
    <t>Annual Avg Index</t>
  </si>
  <si>
    <t>% Inflation</t>
  </si>
  <si>
    <t xml:space="preserve"> % Inflation</t>
  </si>
  <si>
    <t>Research Summary (Key Reasons for High 2020 Inflation):</t>
  </si>
  <si>
    <t>1. COVID-19 Lockdowns &amp; Supply Chain Disruptions: Nationwide supply chain bottlenecks during April–May 2020 restricted transport and distribution, leading to localized product shortages and inflated retail margins.</t>
  </si>
  <si>
    <t>2. Sharp Rise in Food Inflation: Food items (which carry nearly 46% weight in India's CPI basket) surged dramatically due to supply transport halts, unseasonal rains damaging crops, and panic buying during the initial pandemic months.</t>
  </si>
  <si>
    <t>3. Increased Fuel and Logistics Costs: Higher duties on petrol and diesel, combined with elevated global freight rates, passed directly into transport costs and driven up the price of non-food essential goods.</t>
  </si>
  <si>
    <t>M.O.M</t>
  </si>
  <si>
    <t>MOM</t>
  </si>
  <si>
    <t>Food &amp; beverage Index</t>
  </si>
  <si>
    <t>Inflation %</t>
  </si>
  <si>
    <t>2022</t>
  </si>
  <si>
    <t>2023</t>
  </si>
  <si>
    <t>Jun</t>
  </si>
  <si>
    <t>Jul</t>
  </si>
  <si>
    <t>Aug</t>
  </si>
  <si>
    <t>Sep</t>
  </si>
  <si>
    <t>Oct</t>
  </si>
  <si>
    <t>Nov</t>
  </si>
  <si>
    <t>Dec</t>
  </si>
  <si>
    <t>Jan</t>
  </si>
  <si>
    <t>Feb</t>
  </si>
  <si>
    <t>Mar</t>
  </si>
  <si>
    <t>Apr</t>
  </si>
  <si>
    <t>% inflation</t>
  </si>
  <si>
    <t>Absolute Diff</t>
  </si>
  <si>
    <t>Absolute Change</t>
  </si>
  <si>
    <t>Food &amp; beverage</t>
  </si>
  <si>
    <t>Healthcare</t>
  </si>
  <si>
    <t xml:space="preserve"> Geneal Index</t>
  </si>
  <si>
    <t>Transport</t>
  </si>
  <si>
    <t>(blank)</t>
  </si>
  <si>
    <t>General Index</t>
  </si>
  <si>
    <t>Before COVID</t>
  </si>
  <si>
    <t>After COVID</t>
  </si>
  <si>
    <t>Transpport</t>
  </si>
  <si>
    <t>F&amp;B %</t>
  </si>
  <si>
    <t>household%</t>
  </si>
  <si>
    <t>Health %</t>
  </si>
  <si>
    <t>Transport%</t>
  </si>
  <si>
    <t>General Index %</t>
  </si>
  <si>
    <t>Period</t>
  </si>
  <si>
    <t xml:space="preserve"> Before COVID</t>
  </si>
  <si>
    <t xml:space="preserve"> After COVID</t>
  </si>
  <si>
    <t>Crude Oil</t>
  </si>
  <si>
    <t>Date</t>
  </si>
  <si>
    <t>Oil Price MOM% change</t>
  </si>
  <si>
    <t>Food MoM % Change</t>
  </si>
  <si>
    <t>Clothing MoM % change</t>
  </si>
  <si>
    <t>Housing MoM % Change</t>
  </si>
  <si>
    <t>Fuel &amp; Light MoM % change</t>
  </si>
  <si>
    <t>Household MoM % change</t>
  </si>
  <si>
    <t>Health MoM % change</t>
  </si>
  <si>
    <t>TransportMoM % change</t>
  </si>
  <si>
    <t>Education MoM % change</t>
  </si>
  <si>
    <t>Personal Care MoM % change</t>
  </si>
  <si>
    <t>General Index MoM % Change</t>
  </si>
  <si>
    <t>Food &amp; Beverage</t>
  </si>
  <si>
    <t>Personal Care</t>
  </si>
  <si>
    <t>Correl</t>
  </si>
  <si>
    <t xml:space="preserve"> Correl</t>
  </si>
  <si>
    <r>
      <t xml:space="preserve">The </t>
    </r>
    <r>
      <rPr>
        <b/>
        <sz val="11"/>
        <color theme="1"/>
        <rFont val="Calibri"/>
        <family val="2"/>
        <scheme val="minor"/>
      </rPr>
      <t>Food</t>
    </r>
    <r>
      <rPr>
        <sz val="11"/>
        <color theme="1"/>
        <rFont val="Calibri"/>
        <family val="2"/>
        <scheme val="minor"/>
      </rPr>
      <t xml:space="preserve"> category contributes the largest share to India's CPI basket, making it the biggest driver of inflation.</t>
    </r>
  </si>
  <si>
    <t>Health and Tobacoo are the next major contributors after Food.</t>
  </si>
  <si>
    <t>Recreation, Education and Personal Care contribute comparatively less.</t>
  </si>
  <si>
    <r>
      <t xml:space="preserve">Since category contributions are weight-based, the total contribution of all broader categories equals </t>
    </r>
    <r>
      <rPr>
        <b/>
        <sz val="11"/>
        <color theme="1"/>
        <rFont val="Calibri"/>
        <family val="2"/>
        <scheme val="minor"/>
      </rPr>
      <t>100%</t>
    </r>
    <r>
      <rPr>
        <sz val="11"/>
        <color theme="1"/>
        <rFont val="Calibri"/>
        <family val="2"/>
        <scheme val="minor"/>
      </rPr>
      <t>.</t>
    </r>
  </si>
  <si>
    <t>Any price increase in Food has the greatest impact on overall CPI.</t>
  </si>
  <si>
    <t>Inflation remained relatively stable before COVID.</t>
  </si>
  <si>
    <t>Inflation increased sharply during the pandemic period.</t>
  </si>
  <si>
    <r>
      <t xml:space="preserve">The highest YoY inflation occurred in </t>
    </r>
    <r>
      <rPr>
        <b/>
        <sz val="11"/>
        <color theme="1"/>
        <rFont val="Calibri"/>
        <family val="2"/>
        <scheme val="minor"/>
      </rPr>
      <t>2022</t>
    </r>
    <r>
      <rPr>
        <sz val="11"/>
        <color theme="1"/>
        <rFont val="Calibri"/>
        <family val="2"/>
        <scheme val="minor"/>
      </rPr>
      <t xml:space="preserve"> (or whichever year your calculation shows).</t>
    </r>
  </si>
  <si>
    <t>Inflation moderated after supply chains recovered.</t>
  </si>
  <si>
    <t>Food and fuel prices were the primary drivers of higher inflation.</t>
  </si>
  <si>
    <t>Reason</t>
  </si>
  <si>
    <t>Inflation peaked mainly because of global crude oil prices, Russia–Ukraine conflict, supply chain disruptions and higher food prices.</t>
  </si>
  <si>
    <t>Food inflation showed significant month-to-month fluctuations.</t>
  </si>
  <si>
    <t>Oct 2022 recorded the highest food inflation due to higher spices prices.</t>
  </si>
  <si>
    <t>Months with stable food prices resulted in lower overall inflation.</t>
  </si>
  <si>
    <t>Spices showed the highest volatility among food items.</t>
  </si>
  <si>
    <t>Cereals and milk product remained consistently inflationary.</t>
  </si>
  <si>
    <t>Inflation increased noticeably after March 2020.</t>
  </si>
  <si>
    <t>Supply chain disruptions increased prices of essential commodities.</t>
  </si>
  <si>
    <t>Healthcare inflation rose due to pandemic-related demand.</t>
  </si>
  <si>
    <t>Food inflation increased because of transportation and logistics disruptions.</t>
  </si>
  <si>
    <t>Fuel prices became volatile during the recovery period.</t>
  </si>
  <si>
    <t>Inflation gradually stabilized after economic reopening.</t>
  </si>
  <si>
    <t>Overall Observation</t>
  </si>
  <si>
    <t>Crude oil prices fluctuated significantly during 2022–2023, largely due to geopolitical tensions and changing global demand.</t>
  </si>
  <si>
    <t>Changes in crude oil prices influenced transportation costs, fuel prices, and production costs, which eventually affected India's CPI inflation.</t>
  </si>
  <si>
    <t>Rural vs Urban Inflation Gap</t>
  </si>
  <si>
    <t>10 Year Cumulative Price Rise (2013 to 2023</t>
  </si>
  <si>
    <t>most volatile category( highest price risk)</t>
  </si>
  <si>
    <t>4. Lowest Inflation Category (Price Stability Leader)</t>
  </si>
  <si>
    <t>Food &amp; Beverage Inflation Index</t>
  </si>
  <si>
    <t>All India Index Up to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</si>
</sst>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4"/>
      <color theme="1"/>
      <name val="Calibri"/>
      <family val="2"/>
      <scheme val="minor"/>
    </font>
    <font>
      <b/>
      <sz val="13.5"/>
      <color theme="1"/>
      <name val="Calibri"/>
      <family val="2"/>
      <scheme val="minor"/>
    </font>
    <font>
      <b/>
      <i/>
      <sz val="28"/>
      <color rgb="FF00206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0"/>
        <bgColor theme="9" tint="0.79998168889431442"/>
      </patternFill>
    </fill>
    <fill>
      <patternFill patternType="solid">
        <fgColor theme="0"/>
        <bgColor indexed="64"/>
      </patternFill>
    </fill>
    <fill>
      <patternFill patternType="solid">
        <fgColor theme="7"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horizontal="center"/>
    </xf>
    <xf numFmtId="0" fontId="18" fillId="0" borderId="0" xfId="0" applyFont="1"/>
    <xf numFmtId="0" fontId="18" fillId="0" borderId="0" xfId="0" applyFont="1" applyAlignment="1">
      <alignment horizontal="center"/>
    </xf>
    <xf numFmtId="0" fontId="19" fillId="0" borderId="0" xfId="0" applyFont="1"/>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17" fontId="0" fillId="0" borderId="0" xfId="0" applyNumberFormat="1"/>
    <xf numFmtId="0" fontId="0" fillId="0" borderId="0" xfId="0" applyAlignment="1">
      <alignment horizontal="left" indent="1"/>
    </xf>
    <xf numFmtId="0" fontId="0" fillId="33" borderId="10" xfId="0" applyFill="1" applyBorder="1"/>
    <xf numFmtId="0" fontId="0" fillId="0" borderId="10" xfId="0" applyBorder="1"/>
    <xf numFmtId="0" fontId="0" fillId="34" borderId="10" xfId="0" applyFill="1" applyBorder="1"/>
    <xf numFmtId="0" fontId="0" fillId="35" borderId="10" xfId="0" applyFill="1" applyBorder="1"/>
    <xf numFmtId="0" fontId="0" fillId="34" borderId="0" xfId="0" applyFill="1" applyBorder="1"/>
    <xf numFmtId="0" fontId="0" fillId="35" borderId="0" xfId="0" applyFill="1" applyBorder="1"/>
    <xf numFmtId="14" fontId="0" fillId="0" borderId="0" xfId="0" applyNumberFormat="1"/>
    <xf numFmtId="0" fontId="0" fillId="36" borderId="0" xfId="0" applyFill="1"/>
    <xf numFmtId="0" fontId="0" fillId="0" borderId="0" xfId="0" applyNumberFormat="1"/>
    <xf numFmtId="0" fontId="20"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Broader Categories to CPI – May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1'!$V$378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AE8-4AAF-9353-BFFEF7B255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AE8-4AAF-9353-BFFEF7B255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AE8-4AAF-9353-BFFEF7B255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AE8-4AAF-9353-BFFEF7B255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AE8-4AAF-9353-BFFEF7B2553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AE8-4AAF-9353-BFFEF7B2553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AE8-4AAF-9353-BFFEF7B2553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AE8-4AAF-9353-BFFEF7B2553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AE8-4AAF-9353-BFFEF7B2553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AE8-4AAF-9353-BFFEF7B2553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CAE8-4AAF-9353-BFFEF7B2553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CAE8-4AAF-9353-BFFEF7B2553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CAE8-4AAF-9353-BFFEF7B255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 1'!$U$379:$U$392</c:f>
              <c:strCache>
                <c:ptCount val="13"/>
                <c:pt idx="0">
                  <c:v>Clothing Bucket</c:v>
                </c:pt>
                <c:pt idx="1">
                  <c:v>Education</c:v>
                </c:pt>
                <c:pt idx="2">
                  <c:v>Food Bucket</c:v>
                </c:pt>
                <c:pt idx="3">
                  <c:v>Fuel and Light</c:v>
                </c:pt>
                <c:pt idx="4">
                  <c:v>General index</c:v>
                </c:pt>
                <c:pt idx="5">
                  <c:v>Health</c:v>
                </c:pt>
                <c:pt idx="6">
                  <c:v>Household</c:v>
                </c:pt>
                <c:pt idx="7">
                  <c:v>Housing</c:v>
                </c:pt>
                <c:pt idx="8">
                  <c:v>Miscellaneous</c:v>
                </c:pt>
                <c:pt idx="9">
                  <c:v>Pan, Tobaoo</c:v>
                </c:pt>
                <c:pt idx="10">
                  <c:v>Personal care and effects</c:v>
                </c:pt>
                <c:pt idx="11">
                  <c:v>Recreation and amusement</c:v>
                </c:pt>
                <c:pt idx="12">
                  <c:v>Transport and communication</c:v>
                </c:pt>
              </c:strCache>
            </c:strRef>
          </c:cat>
          <c:val>
            <c:numRef>
              <c:f>'Chart 1'!$V$379:$V$392</c:f>
              <c:numCache>
                <c:formatCode>0.00%</c:formatCode>
                <c:ptCount val="13"/>
                <c:pt idx="0">
                  <c:v>8.5186388747040528E-2</c:v>
                </c:pt>
                <c:pt idx="1">
                  <c:v>4.11076551692122E-2</c:v>
                </c:pt>
                <c:pt idx="2">
                  <c:v>0.49389536233229664</c:v>
                </c:pt>
                <c:pt idx="3">
                  <c:v>4.2430713523049071E-2</c:v>
                </c:pt>
                <c:pt idx="4">
                  <c:v>4.1571886170558472E-2</c:v>
                </c:pt>
                <c:pt idx="5">
                  <c:v>4.3103848475001157E-2</c:v>
                </c:pt>
                <c:pt idx="6">
                  <c:v>4.066663571793324E-2</c:v>
                </c:pt>
                <c:pt idx="7">
                  <c:v>3.6210018105009055E-3</c:v>
                </c:pt>
                <c:pt idx="8">
                  <c:v>4.0782693468269807E-2</c:v>
                </c:pt>
                <c:pt idx="9">
                  <c:v>4.6655215635300125E-2</c:v>
                </c:pt>
                <c:pt idx="10">
                  <c:v>4.298779072466459E-2</c:v>
                </c:pt>
                <c:pt idx="11">
                  <c:v>3.9738173715240702E-2</c:v>
                </c:pt>
                <c:pt idx="12">
                  <c:v>3.8252634510932644E-2</c:v>
                </c:pt>
              </c:numCache>
            </c:numRef>
          </c:val>
          <c:extLst>
            <c:ext xmlns:c16="http://schemas.microsoft.com/office/drawing/2014/chart" uri="{C3380CC4-5D6E-409C-BE32-E72D297353CC}">
              <c16:uniqueId val="{00000000-A327-4063-B263-68B38E7C6BE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baseline="0">
                <a:effectLst>
                  <a:outerShdw blurRad="50800" dist="38100" dir="5400000" algn="t" rotWithShape="0">
                    <a:prstClr val="black">
                      <a:alpha val="40000"/>
                    </a:prstClr>
                  </a:outerShdw>
                </a:effectLst>
              </a:rPr>
              <a:t>Y-o-Y CPI Combined Inflation Rate Trend (2017–2023)</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2'!$B$385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2'!$A$386:$A$393</c:f>
              <c:strCache>
                <c:ptCount val="7"/>
                <c:pt idx="0">
                  <c:v>2017</c:v>
                </c:pt>
                <c:pt idx="1">
                  <c:v>2018</c:v>
                </c:pt>
                <c:pt idx="2">
                  <c:v>2019</c:v>
                </c:pt>
                <c:pt idx="3">
                  <c:v>2020</c:v>
                </c:pt>
                <c:pt idx="4">
                  <c:v>2021</c:v>
                </c:pt>
                <c:pt idx="5">
                  <c:v>2022</c:v>
                </c:pt>
                <c:pt idx="6">
                  <c:v>2023</c:v>
                </c:pt>
              </c:strCache>
            </c:strRef>
          </c:cat>
          <c:val>
            <c:numRef>
              <c:f>'Chart 2'!$B$386:$B$393</c:f>
              <c:numCache>
                <c:formatCode>0.00</c:formatCode>
                <c:ptCount val="7"/>
                <c:pt idx="0">
                  <c:v>3.330830660023234</c:v>
                </c:pt>
                <c:pt idx="1">
                  <c:v>3.8972191029790477</c:v>
                </c:pt>
                <c:pt idx="2">
                  <c:v>4.0642002957347847</c:v>
                </c:pt>
                <c:pt idx="3">
                  <c:v>6.3274559354698887</c:v>
                </c:pt>
                <c:pt idx="4">
                  <c:v>5.2730222746338553</c:v>
                </c:pt>
                <c:pt idx="5">
                  <c:v>6.6733375784590505</c:v>
                </c:pt>
                <c:pt idx="6">
                  <c:v>3.0800454981376566</c:v>
                </c:pt>
              </c:numCache>
            </c:numRef>
          </c:val>
          <c:smooth val="0"/>
          <c:extLst>
            <c:ext xmlns:c16="http://schemas.microsoft.com/office/drawing/2014/chart" uri="{C3380CC4-5D6E-409C-BE32-E72D297353CC}">
              <c16:uniqueId val="{00000000-1850-4666-BE50-117C76F68582}"/>
            </c:ext>
          </c:extLst>
        </c:ser>
        <c:dLbls>
          <c:dLblPos val="t"/>
          <c:showLegendKey val="0"/>
          <c:showVal val="1"/>
          <c:showCatName val="0"/>
          <c:showSerName val="0"/>
          <c:showPercent val="0"/>
          <c:showBubbleSize val="0"/>
        </c:dLbls>
        <c:marker val="1"/>
        <c:smooth val="0"/>
        <c:axId val="762262224"/>
        <c:axId val="1460722335"/>
      </c:lineChart>
      <c:catAx>
        <c:axId val="762262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722335"/>
        <c:crosses val="autoZero"/>
        <c:auto val="1"/>
        <c:lblAlgn val="ctr"/>
        <c:lblOffset val="100"/>
        <c:noMultiLvlLbl val="0"/>
      </c:catAx>
      <c:valAx>
        <c:axId val="14607223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26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3.1!PivotTable4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baseline="0">
                <a:solidFill>
                  <a:sysClr val="window" lastClr="FFFFFF">
                    <a:lumMod val="85000"/>
                  </a:sysClr>
                </a:solidFill>
              </a:rPr>
              <a:t>Highest inflation month is Oct 2022</a:t>
            </a:r>
          </a:p>
          <a:p>
            <a:pPr>
              <a:defRPr/>
            </a:pPr>
            <a:r>
              <a:rPr lang="en-US" sz="1200" b="1" i="0" u="none" strike="noStrike" kern="1200" cap="none" baseline="0">
                <a:solidFill>
                  <a:sysClr val="window" lastClr="FFFFFF">
                    <a:lumMod val="85000"/>
                  </a:sysClr>
                </a:solidFill>
              </a:rPr>
              <a:t>Lowest inflation month is Dec 2022</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3.1'!$R$376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'Chart 3.1'!$Q$377:$Q$392</c:f>
              <c:multiLvlStrCache>
                <c:ptCount val="13"/>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lvl>
                <c:lvl>
                  <c:pt idx="0">
                    <c:v>2022</c:v>
                  </c:pt>
                  <c:pt idx="8">
                    <c:v>2023</c:v>
                  </c:pt>
                </c:lvl>
              </c:multiLvlStrCache>
            </c:multiLvlStrRef>
          </c:cat>
          <c:val>
            <c:numRef>
              <c:f>'Chart 3.1'!$R$377:$R$392</c:f>
              <c:numCache>
                <c:formatCode>0.00</c:formatCode>
                <c:ptCount val="13"/>
                <c:pt idx="1">
                  <c:v>0.92325447201384547</c:v>
                </c:pt>
                <c:pt idx="2">
                  <c:v>5.7175528873638831E-2</c:v>
                </c:pt>
                <c:pt idx="3">
                  <c:v>0.74285714285714932</c:v>
                </c:pt>
                <c:pt idx="4">
                  <c:v>0.85082246171298925</c:v>
                </c:pt>
                <c:pt idx="5">
                  <c:v>1.0123734533183255</c:v>
                </c:pt>
                <c:pt idx="6">
                  <c:v>-0.7238307349665829</c:v>
                </c:pt>
                <c:pt idx="7">
                  <c:v>-1.3460459899046582</c:v>
                </c:pt>
                <c:pt idx="8">
                  <c:v>0.45480386583284982</c:v>
                </c:pt>
                <c:pt idx="9">
                  <c:v>0.16977928692700134</c:v>
                </c:pt>
                <c:pt idx="10">
                  <c:v>0</c:v>
                </c:pt>
                <c:pt idx="11">
                  <c:v>0.50847457627118964</c:v>
                </c:pt>
                <c:pt idx="12">
                  <c:v>0.6745362563237709</c:v>
                </c:pt>
              </c:numCache>
            </c:numRef>
          </c:val>
          <c:smooth val="0"/>
          <c:extLst>
            <c:ext xmlns:c16="http://schemas.microsoft.com/office/drawing/2014/chart" uri="{C3380CC4-5D6E-409C-BE32-E72D297353CC}">
              <c16:uniqueId val="{00000000-2E42-4948-B9E5-F28BEC8DFD8C}"/>
            </c:ext>
          </c:extLst>
        </c:ser>
        <c:dLbls>
          <c:showLegendKey val="0"/>
          <c:showVal val="0"/>
          <c:showCatName val="0"/>
          <c:showSerName val="0"/>
          <c:showPercent val="0"/>
          <c:showBubbleSize val="0"/>
        </c:dLbls>
        <c:marker val="1"/>
        <c:smooth val="0"/>
        <c:axId val="622753728"/>
        <c:axId val="1460692095"/>
      </c:lineChart>
      <c:catAx>
        <c:axId val="622753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692095"/>
        <c:crosses val="autoZero"/>
        <c:auto val="1"/>
        <c:lblAlgn val="ctr"/>
        <c:lblOffset val="100"/>
        <c:noMultiLvlLbl val="0"/>
      </c:catAx>
      <c:valAx>
        <c:axId val="14606920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27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3.2!PivotTable5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a:t>Highest Value of absolute change is in spices category of food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3.2'!$G$376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3.2'!$F$377:$F$389</c:f>
              <c:strCache>
                <c:ptCount val="12"/>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strCache>
            </c:strRef>
          </c:cat>
          <c:val>
            <c:numRef>
              <c:f>'Chart 3.2'!$G$377:$G$389</c:f>
              <c:numCache>
                <c:formatCode>General</c:formatCode>
                <c:ptCount val="12"/>
                <c:pt idx="0">
                  <c:v>19.599999999999994</c:v>
                </c:pt>
                <c:pt idx="1">
                  <c:v>10.799999999999983</c:v>
                </c:pt>
                <c:pt idx="2">
                  <c:v>1.1999999999999886</c:v>
                </c:pt>
                <c:pt idx="3">
                  <c:v>-2.6999999999999886</c:v>
                </c:pt>
                <c:pt idx="4">
                  <c:v>14.599999999999994</c:v>
                </c:pt>
                <c:pt idx="5">
                  <c:v>6.3000000000000114</c:v>
                </c:pt>
                <c:pt idx="6">
                  <c:v>-32.400000000000006</c:v>
                </c:pt>
                <c:pt idx="7">
                  <c:v>11.699999999999989</c:v>
                </c:pt>
                <c:pt idx="8">
                  <c:v>10.900000000000006</c:v>
                </c:pt>
                <c:pt idx="9">
                  <c:v>33.099999999999994</c:v>
                </c:pt>
                <c:pt idx="10">
                  <c:v>3</c:v>
                </c:pt>
                <c:pt idx="11">
                  <c:v>-13.900000000000006</c:v>
                </c:pt>
              </c:numCache>
            </c:numRef>
          </c:val>
          <c:extLst>
            <c:ext xmlns:c16="http://schemas.microsoft.com/office/drawing/2014/chart" uri="{C3380CC4-5D6E-409C-BE32-E72D297353CC}">
              <c16:uniqueId val="{00000000-790D-4B5F-A73A-2EA897C8985E}"/>
            </c:ext>
          </c:extLst>
        </c:ser>
        <c:dLbls>
          <c:showLegendKey val="0"/>
          <c:showVal val="1"/>
          <c:showCatName val="0"/>
          <c:showSerName val="0"/>
          <c:showPercent val="0"/>
          <c:showBubbleSize val="0"/>
        </c:dLbls>
        <c:gapWidth val="84"/>
        <c:gapDepth val="53"/>
        <c:shape val="box"/>
        <c:axId val="622769968"/>
        <c:axId val="1460712255"/>
        <c:axId val="0"/>
      </c:bar3DChart>
      <c:catAx>
        <c:axId val="62276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0712255"/>
        <c:crosses val="autoZero"/>
        <c:auto val="1"/>
        <c:lblAlgn val="ctr"/>
        <c:lblOffset val="100"/>
        <c:noMultiLvlLbl val="0"/>
      </c:catAx>
      <c:valAx>
        <c:axId val="1460712255"/>
        <c:scaling>
          <c:orientation val="minMax"/>
        </c:scaling>
        <c:delete val="1"/>
        <c:axPos val="l"/>
        <c:numFmt formatCode="General" sourceLinked="1"/>
        <c:majorTickMark val="out"/>
        <c:minorTickMark val="none"/>
        <c:tickLblPos val="nextTo"/>
        <c:crossAx val="62276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4.1!PivotTable1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4.1'!$R$376</c:f>
              <c:strCache>
                <c:ptCount val="1"/>
                <c:pt idx="0">
                  <c:v> Before COVID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 4.1'!$Q$377:$Q$382</c:f>
              <c:strCache>
                <c:ptCount val="5"/>
                <c:pt idx="0">
                  <c:v>Food &amp; beverage</c:v>
                </c:pt>
                <c:pt idx="1">
                  <c:v>General Index</c:v>
                </c:pt>
                <c:pt idx="2">
                  <c:v>Health</c:v>
                </c:pt>
                <c:pt idx="3">
                  <c:v>Household</c:v>
                </c:pt>
                <c:pt idx="4">
                  <c:v>Transpport</c:v>
                </c:pt>
              </c:strCache>
            </c:strRef>
          </c:cat>
          <c:val>
            <c:numRef>
              <c:f>'Chart 4.1'!$R$377:$R$382</c:f>
              <c:numCache>
                <c:formatCode>0.00</c:formatCode>
                <c:ptCount val="5"/>
                <c:pt idx="0">
                  <c:v>4.3991930524369707</c:v>
                </c:pt>
                <c:pt idx="1">
                  <c:v>4.61145094259453</c:v>
                </c:pt>
                <c:pt idx="2">
                  <c:v>6.2729034875792076</c:v>
                </c:pt>
                <c:pt idx="3">
                  <c:v>4.1084658683936022</c:v>
                </c:pt>
                <c:pt idx="4">
                  <c:v>3.7349607168137395</c:v>
                </c:pt>
              </c:numCache>
            </c:numRef>
          </c:val>
          <c:smooth val="0"/>
          <c:extLst>
            <c:ext xmlns:c16="http://schemas.microsoft.com/office/drawing/2014/chart" uri="{C3380CC4-5D6E-409C-BE32-E72D297353CC}">
              <c16:uniqueId val="{00000000-6C77-4221-8465-F41E6AEAFC19}"/>
            </c:ext>
          </c:extLst>
        </c:ser>
        <c:ser>
          <c:idx val="1"/>
          <c:order val="1"/>
          <c:tx>
            <c:strRef>
              <c:f>'Chart 4.1'!$S$376</c:f>
              <c:strCache>
                <c:ptCount val="1"/>
                <c:pt idx="0">
                  <c:v> After COVID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'Chart 4.1'!$Q$377:$Q$382</c:f>
              <c:strCache>
                <c:ptCount val="5"/>
                <c:pt idx="0">
                  <c:v>Food &amp; beverage</c:v>
                </c:pt>
                <c:pt idx="1">
                  <c:v>General Index</c:v>
                </c:pt>
                <c:pt idx="2">
                  <c:v>Health</c:v>
                </c:pt>
                <c:pt idx="3">
                  <c:v>Household</c:v>
                </c:pt>
                <c:pt idx="4">
                  <c:v>Transpport</c:v>
                </c:pt>
              </c:strCache>
            </c:strRef>
          </c:cat>
          <c:val>
            <c:numRef>
              <c:f>'Chart 4.1'!$S$377:$S$382</c:f>
              <c:numCache>
                <c:formatCode>0.00</c:formatCode>
                <c:ptCount val="5"/>
                <c:pt idx="0">
                  <c:v>6.0270616577123688</c:v>
                </c:pt>
                <c:pt idx="1">
                  <c:v>6.0485007341025367</c:v>
                </c:pt>
                <c:pt idx="2">
                  <c:v>6.6432449214682388</c:v>
                </c:pt>
                <c:pt idx="3">
                  <c:v>5.5969563103627511</c:v>
                </c:pt>
                <c:pt idx="4">
                  <c:v>7.694716344742349</c:v>
                </c:pt>
              </c:numCache>
            </c:numRef>
          </c:val>
          <c:smooth val="0"/>
          <c:extLst>
            <c:ext xmlns:c16="http://schemas.microsoft.com/office/drawing/2014/chart" uri="{C3380CC4-5D6E-409C-BE32-E72D297353CC}">
              <c16:uniqueId val="{00000001-6C77-4221-8465-F41E6AEAFC19}"/>
            </c:ext>
          </c:extLst>
        </c:ser>
        <c:dLbls>
          <c:showLegendKey val="0"/>
          <c:showVal val="0"/>
          <c:showCatName val="0"/>
          <c:showSerName val="0"/>
          <c:showPercent val="0"/>
          <c:showBubbleSize val="0"/>
        </c:dLbls>
        <c:marker val="1"/>
        <c:smooth val="0"/>
        <c:axId val="287244847"/>
        <c:axId val="192195711"/>
      </c:lineChart>
      <c:catAx>
        <c:axId val="2872448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5711"/>
        <c:crosses val="autoZero"/>
        <c:auto val="1"/>
        <c:lblAlgn val="ctr"/>
        <c:lblOffset val="100"/>
        <c:noMultiLvlLbl val="0"/>
      </c:catAx>
      <c:valAx>
        <c:axId val="192195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72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4.2!PivotTable7</c:name>
    <c:fmtId val="9"/>
  </c:pivotSource>
  <c:chart>
    <c:autoTitleDeleted val="1"/>
    <c:pivotFmts>
      <c:pivotFmt>
        <c:idx val="0"/>
        <c:spPr>
          <a:ln w="6350"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635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4.2'!$B$3</c:f>
              <c:strCache>
                <c:ptCount val="1"/>
                <c:pt idx="0">
                  <c:v>Food &amp; beverage</c:v>
                </c:pt>
              </c:strCache>
            </c:strRef>
          </c:tx>
          <c:spPr>
            <a:ln w="6350"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6350">
                <a:solidFill>
                  <a:schemeClr val="accent1"/>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4.2'!$B$4:$B$42</c:f>
              <c:numCache>
                <c:formatCode>0.0</c:formatCode>
                <c:ptCount val="35"/>
                <c:pt idx="0">
                  <c:v>-1.2931034482758499</c:v>
                </c:pt>
                <c:pt idx="1">
                  <c:v>-7.2674418604647031E-2</c:v>
                </c:pt>
                <c:pt idx="2">
                  <c:v>0.6559766763848438</c:v>
                </c:pt>
                <c:pt idx="3">
                  <c:v>2.4727272727272767</c:v>
                </c:pt>
                <c:pt idx="4">
                  <c:v>3.3309196234612557</c:v>
                </c:pt>
                <c:pt idx="5">
                  <c:v>3.8020086083213651</c:v>
                </c:pt>
                <c:pt idx="6">
                  <c:v>3.182461103253182</c:v>
                </c:pt>
                <c:pt idx="7">
                  <c:v>3.740296400846868</c:v>
                </c:pt>
                <c:pt idx="8">
                  <c:v>6.5527065527065442</c:v>
                </c:pt>
                <c:pt idx="9">
                  <c:v>8.7329992841803996</c:v>
                </c:pt>
                <c:pt idx="10">
                  <c:v>10.952040085898362</c:v>
                </c:pt>
                <c:pt idx="11">
                  <c:v>11.070911722141833</c:v>
                </c:pt>
                <c:pt idx="12">
                  <c:v>9.5342066957787441</c:v>
                </c:pt>
                <c:pt idx="13">
                  <c:v>8.2909090909090946</c:v>
                </c:pt>
                <c:pt idx="14">
                  <c:v>9.6307023895727824</c:v>
                </c:pt>
                <c:pt idx="16">
                  <c:v>7.9187105816398127</c:v>
                </c:pt>
                <c:pt idx="17">
                  <c:v>6.4270905321354617</c:v>
                </c:pt>
                <c:pt idx="18">
                  <c:v>7.6079506511309072</c:v>
                </c:pt>
                <c:pt idx="19">
                  <c:v>7.4829931972789119</c:v>
                </c:pt>
                <c:pt idx="20">
                  <c:v>7.8877005347593663</c:v>
                </c:pt>
                <c:pt idx="21">
                  <c:v>8.4265964450296131</c:v>
                </c:pt>
                <c:pt idx="22">
                  <c:v>6.7096774193548425</c:v>
                </c:pt>
                <c:pt idx="23">
                  <c:v>4.8859934853420199</c:v>
                </c:pt>
                <c:pt idx="24">
                  <c:v>4.2524916943521633</c:v>
                </c:pt>
                <c:pt idx="25">
                  <c:v>5.2384150436534469</c:v>
                </c:pt>
                <c:pt idx="26">
                  <c:v>4.3593130779392304</c:v>
                </c:pt>
                <c:pt idx="28">
                  <c:v>5.5844155844155807</c:v>
                </c:pt>
                <c:pt idx="29">
                  <c:v>6.4935064935064926</c:v>
                </c:pt>
                <c:pt idx="30">
                  <c:v>4.4585987261146496</c:v>
                </c:pt>
                <c:pt idx="31">
                  <c:v>3.79746835443038</c:v>
                </c:pt>
                <c:pt idx="32">
                  <c:v>3.903345724907052</c:v>
                </c:pt>
                <c:pt idx="33">
                  <c:v>3.035822707953856</c:v>
                </c:pt>
                <c:pt idx="34">
                  <c:v>1.6928657799274383</c:v>
                </c:pt>
              </c:numCache>
            </c:numRef>
          </c:val>
          <c:smooth val="0"/>
          <c:extLst>
            <c:ext xmlns:c16="http://schemas.microsoft.com/office/drawing/2014/chart" uri="{C3380CC4-5D6E-409C-BE32-E72D297353CC}">
              <c16:uniqueId val="{00000000-B9E3-4ABE-BD6E-07C644392EF0}"/>
            </c:ext>
          </c:extLst>
        </c:ser>
        <c:ser>
          <c:idx val="1"/>
          <c:order val="1"/>
          <c:tx>
            <c:strRef>
              <c:f>'Chart 4.2'!$C$3</c:f>
              <c:strCache>
                <c:ptCount val="1"/>
                <c:pt idx="0">
                  <c:v>Household</c:v>
                </c:pt>
              </c:strCache>
            </c:strRef>
          </c:tx>
          <c:spPr>
            <a:ln w="63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accent2"/>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4.2'!$C$4:$C$42</c:f>
              <c:numCache>
                <c:formatCode>0.0</c:formatCode>
                <c:ptCount val="35"/>
                <c:pt idx="0">
                  <c:v>6.4492216456634459</c:v>
                </c:pt>
                <c:pt idx="1">
                  <c:v>6.2869822485207099</c:v>
                </c:pt>
                <c:pt idx="2">
                  <c:v>6.0471976401180072</c:v>
                </c:pt>
                <c:pt idx="3">
                  <c:v>5.1976573938506547</c:v>
                </c:pt>
                <c:pt idx="4">
                  <c:v>4.6579330422125222</c:v>
                </c:pt>
                <c:pt idx="5">
                  <c:v>4.5685279187817134</c:v>
                </c:pt>
                <c:pt idx="6">
                  <c:v>4.2568542568542611</c:v>
                </c:pt>
                <c:pt idx="7">
                  <c:v>3.7302725968436068</c:v>
                </c:pt>
                <c:pt idx="8">
                  <c:v>3.7938439513242743</c:v>
                </c:pt>
                <c:pt idx="9">
                  <c:v>2.1800281293952342</c:v>
                </c:pt>
                <c:pt idx="10">
                  <c:v>2.5316455696202693</c:v>
                </c:pt>
                <c:pt idx="11">
                  <c:v>2.0949720670391065</c:v>
                </c:pt>
                <c:pt idx="12">
                  <c:v>1.9498607242339914</c:v>
                </c:pt>
                <c:pt idx="13">
                  <c:v>1.8789144050104505</c:v>
                </c:pt>
                <c:pt idx="16">
                  <c:v>1.8080667593880348</c:v>
                </c:pt>
                <c:pt idx="17">
                  <c:v>1.5256588072122172</c:v>
                </c:pt>
                <c:pt idx="18">
                  <c:v>2.698961937716267</c:v>
                </c:pt>
                <c:pt idx="19">
                  <c:v>2.83540802213001</c:v>
                </c:pt>
                <c:pt idx="20">
                  <c:v>2.5517241379310267</c:v>
                </c:pt>
                <c:pt idx="21">
                  <c:v>2.6841018582243477</c:v>
                </c:pt>
                <c:pt idx="22">
                  <c:v>2.6748971193415483</c:v>
                </c:pt>
                <c:pt idx="23">
                  <c:v>2.5991792065663555</c:v>
                </c:pt>
                <c:pt idx="24">
                  <c:v>3.0737704918032787</c:v>
                </c:pt>
                <c:pt idx="25">
                  <c:v>3.2786885245901525</c:v>
                </c:pt>
                <c:pt idx="28">
                  <c:v>5.7377049180327901</c:v>
                </c:pt>
                <c:pt idx="29">
                  <c:v>6.4207650273224077</c:v>
                </c:pt>
                <c:pt idx="30">
                  <c:v>6.1320754716981094</c:v>
                </c:pt>
                <c:pt idx="31">
                  <c:v>5.9179556153328932</c:v>
                </c:pt>
                <c:pt idx="32">
                  <c:v>6.5232010759919428</c:v>
                </c:pt>
                <c:pt idx="33">
                  <c:v>6.7694369973190502</c:v>
                </c:pt>
                <c:pt idx="34">
                  <c:v>7.0140280561122248</c:v>
                </c:pt>
              </c:numCache>
            </c:numRef>
          </c:val>
          <c:smooth val="0"/>
          <c:extLst>
            <c:ext xmlns:c16="http://schemas.microsoft.com/office/drawing/2014/chart" uri="{C3380CC4-5D6E-409C-BE32-E72D297353CC}">
              <c16:uniqueId val="{00000001-B9E3-4ABE-BD6E-07C644392EF0}"/>
            </c:ext>
          </c:extLst>
        </c:ser>
        <c:ser>
          <c:idx val="2"/>
          <c:order val="2"/>
          <c:tx>
            <c:strRef>
              <c:f>'Chart 4.2'!$D$3</c:f>
              <c:strCache>
                <c:ptCount val="1"/>
                <c:pt idx="0">
                  <c:v>Healthcare</c:v>
                </c:pt>
              </c:strCache>
            </c:strRef>
          </c:tx>
          <c:spPr>
            <a:ln w="6350"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a:solidFill>
                  <a:schemeClr val="accent3"/>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4.2'!$D$4:$D$42</c:f>
              <c:numCache>
                <c:formatCode>0.0</c:formatCode>
                <c:ptCount val="35"/>
                <c:pt idx="0">
                  <c:v>8.8522130532633021</c:v>
                </c:pt>
                <c:pt idx="1">
                  <c:v>8.8191330343796572</c:v>
                </c:pt>
                <c:pt idx="2">
                  <c:v>8.8607594936708676</c:v>
                </c:pt>
                <c:pt idx="3">
                  <c:v>8.6538461538461675</c:v>
                </c:pt>
                <c:pt idx="4">
                  <c:v>8.3823529411764746</c:v>
                </c:pt>
                <c:pt idx="5">
                  <c:v>8.590308370044065</c:v>
                </c:pt>
                <c:pt idx="6">
                  <c:v>8.3941605839416056</c:v>
                </c:pt>
                <c:pt idx="7">
                  <c:v>8.2062454611474305</c:v>
                </c:pt>
                <c:pt idx="8">
                  <c:v>7.9479768786127174</c:v>
                </c:pt>
                <c:pt idx="9">
                  <c:v>5.489092188599586</c:v>
                </c:pt>
                <c:pt idx="10">
                  <c:v>5.8409570724841746</c:v>
                </c:pt>
                <c:pt idx="11">
                  <c:v>4.34782608695651</c:v>
                </c:pt>
                <c:pt idx="12">
                  <c:v>4.5485871812543035</c:v>
                </c:pt>
                <c:pt idx="13">
                  <c:v>4.6016483516483637</c:v>
                </c:pt>
                <c:pt idx="14">
                  <c:v>3.0779753761969908</c:v>
                </c:pt>
                <c:pt idx="16">
                  <c:v>4.7489823609226596</c:v>
                </c:pt>
                <c:pt idx="17">
                  <c:v>4.3948613928329952</c:v>
                </c:pt>
                <c:pt idx="18">
                  <c:v>4.3771043771043772</c:v>
                </c:pt>
                <c:pt idx="19">
                  <c:v>4.4295302013422777</c:v>
                </c:pt>
                <c:pt idx="20">
                  <c:v>4.6184738955823326</c:v>
                </c:pt>
                <c:pt idx="21">
                  <c:v>4.8699132755169998</c:v>
                </c:pt>
                <c:pt idx="22">
                  <c:v>5.2526595744680886</c:v>
                </c:pt>
                <c:pt idx="23">
                  <c:v>5.3571428571428727</c:v>
                </c:pt>
                <c:pt idx="24">
                  <c:v>6.3282794990112219</c:v>
                </c:pt>
                <c:pt idx="25">
                  <c:v>6.1720288903479821</c:v>
                </c:pt>
                <c:pt idx="28">
                  <c:v>7.7072538860103661</c:v>
                </c:pt>
                <c:pt idx="29">
                  <c:v>8.1606217616580263</c:v>
                </c:pt>
                <c:pt idx="30">
                  <c:v>8.6451612903225836</c:v>
                </c:pt>
                <c:pt idx="31">
                  <c:v>8.2262210796915252</c:v>
                </c:pt>
                <c:pt idx="32">
                  <c:v>8.1893793985924397</c:v>
                </c:pt>
                <c:pt idx="33">
                  <c:v>8.0788804071246929</c:v>
                </c:pt>
                <c:pt idx="34">
                  <c:v>7.7700568540745305</c:v>
                </c:pt>
              </c:numCache>
            </c:numRef>
          </c:val>
          <c:smooth val="0"/>
          <c:extLst>
            <c:ext xmlns:c16="http://schemas.microsoft.com/office/drawing/2014/chart" uri="{C3380CC4-5D6E-409C-BE32-E72D297353CC}">
              <c16:uniqueId val="{00000002-B9E3-4ABE-BD6E-07C644392EF0}"/>
            </c:ext>
          </c:extLst>
        </c:ser>
        <c:ser>
          <c:idx val="3"/>
          <c:order val="3"/>
          <c:tx>
            <c:strRef>
              <c:f>'Chart 4.2'!$E$3</c:f>
              <c:strCache>
                <c:ptCount val="1"/>
                <c:pt idx="0">
                  <c:v> Geneal Index</c:v>
                </c:pt>
              </c:strCache>
            </c:strRef>
          </c:tx>
          <c:spPr>
            <a:ln w="6350"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a:solidFill>
                  <a:schemeClr val="accent4"/>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4.2'!$E$4:$E$42</c:f>
              <c:numCache>
                <c:formatCode>0.0</c:formatCode>
                <c:ptCount val="35"/>
                <c:pt idx="0">
                  <c:v>1.972242512783045</c:v>
                </c:pt>
                <c:pt idx="1">
                  <c:v>2.5659824046920821</c:v>
                </c:pt>
                <c:pt idx="2">
                  <c:v>2.8571428571428612</c:v>
                </c:pt>
                <c:pt idx="3">
                  <c:v>3.5740335521517181</c:v>
                </c:pt>
                <c:pt idx="4">
                  <c:v>3.7010159651669037</c:v>
                </c:pt>
                <c:pt idx="5">
                  <c:v>4.115523465703963</c:v>
                </c:pt>
                <c:pt idx="6">
                  <c:v>3.7195994277539257</c:v>
                </c:pt>
                <c:pt idx="7">
                  <c:v>3.8461538461538498</c:v>
                </c:pt>
                <c:pt idx="8">
                  <c:v>4.9928673323823114</c:v>
                </c:pt>
                <c:pt idx="9">
                  <c:v>5.5397727272727151</c:v>
                </c:pt>
                <c:pt idx="10">
                  <c:v>6.8181818181818139</c:v>
                </c:pt>
                <c:pt idx="11">
                  <c:v>7.2091363311920027</c:v>
                </c:pt>
                <c:pt idx="12">
                  <c:v>6.8051575931232096</c:v>
                </c:pt>
                <c:pt idx="13">
                  <c:v>6.2187276626161463</c:v>
                </c:pt>
                <c:pt idx="16">
                  <c:v>6.2281315605318444</c:v>
                </c:pt>
                <c:pt idx="17">
                  <c:v>5.27045769764218</c:v>
                </c:pt>
                <c:pt idx="18">
                  <c:v>6.1379310344827624</c:v>
                </c:pt>
                <c:pt idx="19">
                  <c:v>6.1042524005486802</c:v>
                </c:pt>
                <c:pt idx="20">
                  <c:v>6.2500000000000124</c:v>
                </c:pt>
                <c:pt idx="21">
                  <c:v>6.594885598923292</c:v>
                </c:pt>
                <c:pt idx="22">
                  <c:v>5.6515957446808507</c:v>
                </c:pt>
                <c:pt idx="23">
                  <c:v>4.7270306258322385</c:v>
                </c:pt>
                <c:pt idx="24">
                  <c:v>5.0301810865191152</c:v>
                </c:pt>
                <c:pt idx="25">
                  <c:v>5.5181695827725559</c:v>
                </c:pt>
                <c:pt idx="28">
                  <c:v>6.2582345191040831</c:v>
                </c:pt>
                <c:pt idx="29">
                  <c:v>7.0487483530961708</c:v>
                </c:pt>
                <c:pt idx="30">
                  <c:v>6.0428849902534001</c:v>
                </c:pt>
                <c:pt idx="31">
                  <c:v>5.4945054945054954</c:v>
                </c:pt>
                <c:pt idx="32">
                  <c:v>5.8184143222506357</c:v>
                </c:pt>
                <c:pt idx="33">
                  <c:v>5.239898989898979</c:v>
                </c:pt>
                <c:pt idx="34">
                  <c:v>4.5940843297671385</c:v>
                </c:pt>
              </c:numCache>
            </c:numRef>
          </c:val>
          <c:smooth val="0"/>
          <c:extLst>
            <c:ext xmlns:c16="http://schemas.microsoft.com/office/drawing/2014/chart" uri="{C3380CC4-5D6E-409C-BE32-E72D297353CC}">
              <c16:uniqueId val="{00000003-B9E3-4ABE-BD6E-07C644392EF0}"/>
            </c:ext>
          </c:extLst>
        </c:ser>
        <c:ser>
          <c:idx val="4"/>
          <c:order val="4"/>
          <c:tx>
            <c:strRef>
              <c:f>'Chart 4.2'!$F$3</c:f>
              <c:strCache>
                <c:ptCount val="1"/>
                <c:pt idx="0">
                  <c:v>Transport</c:v>
                </c:pt>
              </c:strCache>
            </c:strRef>
          </c:tx>
          <c:spPr>
            <a:ln w="317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accent5"/>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4.2'!$F$4:$F$42</c:f>
              <c:numCache>
                <c:formatCode>0.0</c:formatCode>
                <c:ptCount val="35"/>
                <c:pt idx="0">
                  <c:v>3.3528918692372169</c:v>
                </c:pt>
                <c:pt idx="1">
                  <c:v>3.0782029950083216</c:v>
                </c:pt>
                <c:pt idx="2">
                  <c:v>2.9752066115702429</c:v>
                </c:pt>
                <c:pt idx="3">
                  <c:v>2.4610336341263328</c:v>
                </c:pt>
                <c:pt idx="4">
                  <c:v>1.3832384052074764</c:v>
                </c:pt>
                <c:pt idx="5">
                  <c:v>1.5359741309619979</c:v>
                </c:pt>
                <c:pt idx="6">
                  <c:v>1.7799352750809085</c:v>
                </c:pt>
                <c:pt idx="7">
                  <c:v>1.4481094127111804</c:v>
                </c:pt>
                <c:pt idx="8">
                  <c:v>0.23809523809523581</c:v>
                </c:pt>
                <c:pt idx="9">
                  <c:v>0.87649402390437803</c:v>
                </c:pt>
                <c:pt idx="10">
                  <c:v>3.4262948207171409</c:v>
                </c:pt>
                <c:pt idx="11">
                  <c:v>5.9061488673139255</c:v>
                </c:pt>
                <c:pt idx="12">
                  <c:v>5.677210056772112</c:v>
                </c:pt>
                <c:pt idx="13">
                  <c:v>4.8426150121065374</c:v>
                </c:pt>
                <c:pt idx="16">
                  <c:v>8.3467094703049796</c:v>
                </c:pt>
                <c:pt idx="17">
                  <c:v>7.4840764331210243</c:v>
                </c:pt>
                <c:pt idx="18">
                  <c:v>10.095389507154215</c:v>
                </c:pt>
                <c:pt idx="19">
                  <c:v>10.705789056304521</c:v>
                </c:pt>
                <c:pt idx="20">
                  <c:v>11.322248614410132</c:v>
                </c:pt>
                <c:pt idx="21">
                  <c:v>10.900473933649298</c:v>
                </c:pt>
                <c:pt idx="22">
                  <c:v>8.3975346687210912</c:v>
                </c:pt>
                <c:pt idx="23">
                  <c:v>8.4033613445378137</c:v>
                </c:pt>
                <c:pt idx="24">
                  <c:v>11.358403683806587</c:v>
                </c:pt>
                <c:pt idx="25">
                  <c:v>12.548113933795213</c:v>
                </c:pt>
                <c:pt idx="28">
                  <c:v>11.629629629629621</c:v>
                </c:pt>
                <c:pt idx="29">
                  <c:v>13.407407407407405</c:v>
                </c:pt>
                <c:pt idx="30">
                  <c:v>11.191335740072201</c:v>
                </c:pt>
                <c:pt idx="31">
                  <c:v>10.315186246418342</c:v>
                </c:pt>
                <c:pt idx="32">
                  <c:v>10.739687055476525</c:v>
                </c:pt>
                <c:pt idx="33">
                  <c:v>10.256410256410261</c:v>
                </c:pt>
                <c:pt idx="34">
                  <c:v>10.660980810234543</c:v>
                </c:pt>
              </c:numCache>
            </c:numRef>
          </c:val>
          <c:smooth val="0"/>
          <c:extLst>
            <c:ext xmlns:c16="http://schemas.microsoft.com/office/drawing/2014/chart" uri="{C3380CC4-5D6E-409C-BE32-E72D297353CC}">
              <c16:uniqueId val="{00000004-B9E3-4ABE-BD6E-07C644392EF0}"/>
            </c:ext>
          </c:extLst>
        </c:ser>
        <c:dLbls>
          <c:showLegendKey val="0"/>
          <c:showVal val="0"/>
          <c:showCatName val="0"/>
          <c:showSerName val="0"/>
          <c:showPercent val="0"/>
          <c:showBubbleSize val="0"/>
        </c:dLbls>
        <c:marker val="1"/>
        <c:smooth val="0"/>
        <c:axId val="1561342687"/>
        <c:axId val="1460721375"/>
      </c:lineChart>
      <c:catAx>
        <c:axId val="15613426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721375"/>
        <c:crosses val="autoZero"/>
        <c:auto val="1"/>
        <c:lblAlgn val="ctr"/>
        <c:lblOffset val="100"/>
        <c:noMultiLvlLbl val="0"/>
      </c:catAx>
      <c:valAx>
        <c:axId val="146072137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34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5!PivotTable2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Correlation between Crude Oil with other categories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numFmt formatCode="#,##0.0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5'!$AT$322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numFmt formatCode="#,##0.0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5'!$AS$323:$AS$334</c:f>
              <c:strCache>
                <c:ptCount val="11"/>
                <c:pt idx="0">
                  <c:v>Clothing</c:v>
                </c:pt>
                <c:pt idx="1">
                  <c:v>Education</c:v>
                </c:pt>
                <c:pt idx="2">
                  <c:v>Food &amp; Beverage</c:v>
                </c:pt>
                <c:pt idx="3">
                  <c:v>Fuel and Light</c:v>
                </c:pt>
                <c:pt idx="4">
                  <c:v>General Index</c:v>
                </c:pt>
                <c:pt idx="5">
                  <c:v>Healthcare</c:v>
                </c:pt>
                <c:pt idx="6">
                  <c:v>Household</c:v>
                </c:pt>
                <c:pt idx="7">
                  <c:v>Housing</c:v>
                </c:pt>
                <c:pt idx="8">
                  <c:v>Personal Care</c:v>
                </c:pt>
                <c:pt idx="9">
                  <c:v>Transport</c:v>
                </c:pt>
                <c:pt idx="10">
                  <c:v>(blank)</c:v>
                </c:pt>
              </c:strCache>
            </c:strRef>
          </c:cat>
          <c:val>
            <c:numRef>
              <c:f>'Chart 5'!$AT$323:$AT$334</c:f>
              <c:numCache>
                <c:formatCode>General</c:formatCode>
                <c:ptCount val="11"/>
                <c:pt idx="0">
                  <c:v>0.25592996506591298</c:v>
                </c:pt>
                <c:pt idx="1">
                  <c:v>0.11182567087214877</c:v>
                </c:pt>
                <c:pt idx="2">
                  <c:v>-0.11221849780136414</c:v>
                </c:pt>
                <c:pt idx="3">
                  <c:v>-2.6009658643739591E-2</c:v>
                </c:pt>
                <c:pt idx="4">
                  <c:v>-9.1401196358344511E-2</c:v>
                </c:pt>
                <c:pt idx="5">
                  <c:v>0.29682663117031027</c:v>
                </c:pt>
                <c:pt idx="6">
                  <c:v>0.23787205762233332</c:v>
                </c:pt>
                <c:pt idx="7">
                  <c:v>-0.18782381563551392</c:v>
                </c:pt>
                <c:pt idx="8">
                  <c:v>4.8900542484075216E-2</c:v>
                </c:pt>
                <c:pt idx="9">
                  <c:v>-2.7788791759460876E-2</c:v>
                </c:pt>
              </c:numCache>
            </c:numRef>
          </c:val>
          <c:extLst>
            <c:ext xmlns:c16="http://schemas.microsoft.com/office/drawing/2014/chart" uri="{C3380CC4-5D6E-409C-BE32-E72D297353CC}">
              <c16:uniqueId val="{00000000-05D1-48F2-AEBF-9C92CCF667EC}"/>
            </c:ext>
          </c:extLst>
        </c:ser>
        <c:dLbls>
          <c:showLegendKey val="0"/>
          <c:showVal val="1"/>
          <c:showCatName val="0"/>
          <c:showSerName val="0"/>
          <c:showPercent val="0"/>
          <c:showBubbleSize val="0"/>
        </c:dLbls>
        <c:gapWidth val="84"/>
        <c:gapDepth val="53"/>
        <c:shape val="box"/>
        <c:axId val="183797631"/>
        <c:axId val="192206751"/>
        <c:axId val="0"/>
      </c:bar3DChart>
      <c:catAx>
        <c:axId val="183797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206751"/>
        <c:crosses val="autoZero"/>
        <c:auto val="1"/>
        <c:lblAlgn val="ctr"/>
        <c:lblOffset val="100"/>
        <c:noMultiLvlLbl val="0"/>
      </c:catAx>
      <c:valAx>
        <c:axId val="192206751"/>
        <c:scaling>
          <c:orientation val="minMax"/>
        </c:scaling>
        <c:delete val="1"/>
        <c:axPos val="l"/>
        <c:numFmt formatCode="General" sourceLinked="1"/>
        <c:majorTickMark val="out"/>
        <c:minorTickMark val="none"/>
        <c:tickLblPos val="nextTo"/>
        <c:crossAx val="18379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Contribution of Broader Categories to CPI – May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1'!$V$378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53F-4C0C-815C-93FB97D89A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53F-4C0C-815C-93FB97D89A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53F-4C0C-815C-93FB97D89A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53F-4C0C-815C-93FB97D89A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53F-4C0C-815C-93FB97D89A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53F-4C0C-815C-93FB97D89A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53F-4C0C-815C-93FB97D89A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53F-4C0C-815C-93FB97D89A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53F-4C0C-815C-93FB97D89AE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53F-4C0C-815C-93FB97D89AE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353F-4C0C-815C-93FB97D89AE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353F-4C0C-815C-93FB97D89AE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353F-4C0C-815C-93FB97D89A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 1'!$U$379:$U$392</c:f>
              <c:strCache>
                <c:ptCount val="13"/>
                <c:pt idx="0">
                  <c:v>Clothing Bucket</c:v>
                </c:pt>
                <c:pt idx="1">
                  <c:v>Education</c:v>
                </c:pt>
                <c:pt idx="2">
                  <c:v>Food Bucket</c:v>
                </c:pt>
                <c:pt idx="3">
                  <c:v>Fuel and Light</c:v>
                </c:pt>
                <c:pt idx="4">
                  <c:v>General index</c:v>
                </c:pt>
                <c:pt idx="5">
                  <c:v>Health</c:v>
                </c:pt>
                <c:pt idx="6">
                  <c:v>Household</c:v>
                </c:pt>
                <c:pt idx="7">
                  <c:v>Housing</c:v>
                </c:pt>
                <c:pt idx="8">
                  <c:v>Miscellaneous</c:v>
                </c:pt>
                <c:pt idx="9">
                  <c:v>Pan, Tobaoo</c:v>
                </c:pt>
                <c:pt idx="10">
                  <c:v>Personal care and effects</c:v>
                </c:pt>
                <c:pt idx="11">
                  <c:v>Recreation and amusement</c:v>
                </c:pt>
                <c:pt idx="12">
                  <c:v>Transport and communication</c:v>
                </c:pt>
              </c:strCache>
            </c:strRef>
          </c:cat>
          <c:val>
            <c:numRef>
              <c:f>'Chart 1'!$V$379:$V$392</c:f>
              <c:numCache>
                <c:formatCode>0.00%</c:formatCode>
                <c:ptCount val="13"/>
                <c:pt idx="0">
                  <c:v>8.5186388747040528E-2</c:v>
                </c:pt>
                <c:pt idx="1">
                  <c:v>4.11076551692122E-2</c:v>
                </c:pt>
                <c:pt idx="2">
                  <c:v>0.49389536233229664</c:v>
                </c:pt>
                <c:pt idx="3">
                  <c:v>4.2430713523049071E-2</c:v>
                </c:pt>
                <c:pt idx="4">
                  <c:v>4.1571886170558472E-2</c:v>
                </c:pt>
                <c:pt idx="5">
                  <c:v>4.3103848475001157E-2</c:v>
                </c:pt>
                <c:pt idx="6">
                  <c:v>4.066663571793324E-2</c:v>
                </c:pt>
                <c:pt idx="7">
                  <c:v>3.6210018105009055E-3</c:v>
                </c:pt>
                <c:pt idx="8">
                  <c:v>4.0782693468269807E-2</c:v>
                </c:pt>
                <c:pt idx="9">
                  <c:v>4.6655215635300125E-2</c:v>
                </c:pt>
                <c:pt idx="10">
                  <c:v>4.298779072466459E-2</c:v>
                </c:pt>
                <c:pt idx="11">
                  <c:v>3.9738173715240702E-2</c:v>
                </c:pt>
                <c:pt idx="12">
                  <c:v>3.8252634510932644E-2</c:v>
                </c:pt>
              </c:numCache>
            </c:numRef>
          </c:val>
          <c:extLst>
            <c:ext xmlns:c16="http://schemas.microsoft.com/office/drawing/2014/chart" uri="{C3380CC4-5D6E-409C-BE32-E72D297353CC}">
              <c16:uniqueId val="{0000001A-353F-4C0C-815C-93FB97D89AED}"/>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2!PivotTable2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baseline="0">
                <a:effectLst>
                  <a:outerShdw blurRad="50800" dist="38100" dir="5400000" algn="t" rotWithShape="0">
                    <a:prstClr val="black">
                      <a:alpha val="40000"/>
                    </a:prstClr>
                  </a:outerShdw>
                </a:effectLst>
              </a:rPr>
              <a:t>Y-o-Y CPI Combined Inflation Rate Trend (2017–2023)</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2'!$B$385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2'!$A$386:$A$393</c:f>
              <c:strCache>
                <c:ptCount val="7"/>
                <c:pt idx="0">
                  <c:v>2017</c:v>
                </c:pt>
                <c:pt idx="1">
                  <c:v>2018</c:v>
                </c:pt>
                <c:pt idx="2">
                  <c:v>2019</c:v>
                </c:pt>
                <c:pt idx="3">
                  <c:v>2020</c:v>
                </c:pt>
                <c:pt idx="4">
                  <c:v>2021</c:v>
                </c:pt>
                <c:pt idx="5">
                  <c:v>2022</c:v>
                </c:pt>
                <c:pt idx="6">
                  <c:v>2023</c:v>
                </c:pt>
              </c:strCache>
            </c:strRef>
          </c:cat>
          <c:val>
            <c:numRef>
              <c:f>'Chart 2'!$B$386:$B$393</c:f>
              <c:numCache>
                <c:formatCode>0.00</c:formatCode>
                <c:ptCount val="7"/>
                <c:pt idx="0">
                  <c:v>3.330830660023234</c:v>
                </c:pt>
                <c:pt idx="1">
                  <c:v>3.8972191029790477</c:v>
                </c:pt>
                <c:pt idx="2">
                  <c:v>4.0642002957347847</c:v>
                </c:pt>
                <c:pt idx="3">
                  <c:v>6.3274559354698887</c:v>
                </c:pt>
                <c:pt idx="4">
                  <c:v>5.2730222746338553</c:v>
                </c:pt>
                <c:pt idx="5">
                  <c:v>6.6733375784590505</c:v>
                </c:pt>
                <c:pt idx="6">
                  <c:v>3.0800454981376566</c:v>
                </c:pt>
              </c:numCache>
            </c:numRef>
          </c:val>
          <c:smooth val="0"/>
          <c:extLst>
            <c:ext xmlns:c16="http://schemas.microsoft.com/office/drawing/2014/chart" uri="{C3380CC4-5D6E-409C-BE32-E72D297353CC}">
              <c16:uniqueId val="{00000000-C467-47D6-9774-44C15DA9C662}"/>
            </c:ext>
          </c:extLst>
        </c:ser>
        <c:dLbls>
          <c:dLblPos val="t"/>
          <c:showLegendKey val="0"/>
          <c:showVal val="1"/>
          <c:showCatName val="0"/>
          <c:showSerName val="0"/>
          <c:showPercent val="0"/>
          <c:showBubbleSize val="0"/>
        </c:dLbls>
        <c:marker val="1"/>
        <c:smooth val="0"/>
        <c:axId val="762262224"/>
        <c:axId val="1460722335"/>
      </c:lineChart>
      <c:catAx>
        <c:axId val="762262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722335"/>
        <c:crosses val="autoZero"/>
        <c:auto val="1"/>
        <c:lblAlgn val="ctr"/>
        <c:lblOffset val="100"/>
        <c:noMultiLvlLbl val="0"/>
      </c:catAx>
      <c:valAx>
        <c:axId val="14607223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26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3.1!PivotTable4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baseline="0">
                <a:solidFill>
                  <a:sysClr val="window" lastClr="FFFFFF">
                    <a:lumMod val="85000"/>
                  </a:sysClr>
                </a:solidFill>
              </a:rPr>
              <a:t>Highest inflation month is Oct 2022</a:t>
            </a:r>
          </a:p>
          <a:p>
            <a:pPr>
              <a:defRPr/>
            </a:pPr>
            <a:r>
              <a:rPr lang="en-US" sz="1200" b="1" i="0" u="none" strike="noStrike" kern="1200" cap="none" baseline="0">
                <a:solidFill>
                  <a:sysClr val="window" lastClr="FFFFFF">
                    <a:lumMod val="85000"/>
                  </a:sysClr>
                </a:solidFill>
              </a:rPr>
              <a:t>Lowest inflation month is Dec 2022</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3.1'!$R$376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'Chart 3.1'!$Q$377:$Q$392</c:f>
              <c:multiLvlStrCache>
                <c:ptCount val="13"/>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lvl>
                <c:lvl>
                  <c:pt idx="0">
                    <c:v>2022</c:v>
                  </c:pt>
                  <c:pt idx="8">
                    <c:v>2023</c:v>
                  </c:pt>
                </c:lvl>
              </c:multiLvlStrCache>
            </c:multiLvlStrRef>
          </c:cat>
          <c:val>
            <c:numRef>
              <c:f>'Chart 3.1'!$R$377:$R$392</c:f>
              <c:numCache>
                <c:formatCode>0.00</c:formatCode>
                <c:ptCount val="13"/>
                <c:pt idx="1">
                  <c:v>0.92325447201384547</c:v>
                </c:pt>
                <c:pt idx="2">
                  <c:v>5.7175528873638831E-2</c:v>
                </c:pt>
                <c:pt idx="3">
                  <c:v>0.74285714285714932</c:v>
                </c:pt>
                <c:pt idx="4">
                  <c:v>0.85082246171298925</c:v>
                </c:pt>
                <c:pt idx="5">
                  <c:v>1.0123734533183255</c:v>
                </c:pt>
                <c:pt idx="6">
                  <c:v>-0.7238307349665829</c:v>
                </c:pt>
                <c:pt idx="7">
                  <c:v>-1.3460459899046582</c:v>
                </c:pt>
                <c:pt idx="8">
                  <c:v>0.45480386583284982</c:v>
                </c:pt>
                <c:pt idx="9">
                  <c:v>0.16977928692700134</c:v>
                </c:pt>
                <c:pt idx="10">
                  <c:v>0</c:v>
                </c:pt>
                <c:pt idx="11">
                  <c:v>0.50847457627118964</c:v>
                </c:pt>
                <c:pt idx="12">
                  <c:v>0.6745362563237709</c:v>
                </c:pt>
              </c:numCache>
            </c:numRef>
          </c:val>
          <c:smooth val="0"/>
          <c:extLst>
            <c:ext xmlns:c16="http://schemas.microsoft.com/office/drawing/2014/chart" uri="{C3380CC4-5D6E-409C-BE32-E72D297353CC}">
              <c16:uniqueId val="{00000000-C73B-4391-9E86-851634F93181}"/>
            </c:ext>
          </c:extLst>
        </c:ser>
        <c:dLbls>
          <c:showLegendKey val="0"/>
          <c:showVal val="0"/>
          <c:showCatName val="0"/>
          <c:showSerName val="0"/>
          <c:showPercent val="0"/>
          <c:showBubbleSize val="0"/>
        </c:dLbls>
        <c:marker val="1"/>
        <c:smooth val="0"/>
        <c:axId val="622753728"/>
        <c:axId val="1460692095"/>
      </c:lineChart>
      <c:catAx>
        <c:axId val="622753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692095"/>
        <c:crosses val="autoZero"/>
        <c:auto val="1"/>
        <c:lblAlgn val="ctr"/>
        <c:lblOffset val="100"/>
        <c:noMultiLvlLbl val="0"/>
      </c:catAx>
      <c:valAx>
        <c:axId val="14606920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27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3.2!PivotTable5</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a:t>Highest Value of absolute change is in spices category of food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3.2'!$G$376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3.2'!$F$377:$F$389</c:f>
              <c:strCache>
                <c:ptCount val="12"/>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strCache>
            </c:strRef>
          </c:cat>
          <c:val>
            <c:numRef>
              <c:f>'Chart 3.2'!$G$377:$G$389</c:f>
              <c:numCache>
                <c:formatCode>General</c:formatCode>
                <c:ptCount val="12"/>
                <c:pt idx="0">
                  <c:v>19.599999999999994</c:v>
                </c:pt>
                <c:pt idx="1">
                  <c:v>10.799999999999983</c:v>
                </c:pt>
                <c:pt idx="2">
                  <c:v>1.1999999999999886</c:v>
                </c:pt>
                <c:pt idx="3">
                  <c:v>-2.6999999999999886</c:v>
                </c:pt>
                <c:pt idx="4">
                  <c:v>14.599999999999994</c:v>
                </c:pt>
                <c:pt idx="5">
                  <c:v>6.3000000000000114</c:v>
                </c:pt>
                <c:pt idx="6">
                  <c:v>-32.400000000000006</c:v>
                </c:pt>
                <c:pt idx="7">
                  <c:v>11.699999999999989</c:v>
                </c:pt>
                <c:pt idx="8">
                  <c:v>10.900000000000006</c:v>
                </c:pt>
                <c:pt idx="9">
                  <c:v>33.099999999999994</c:v>
                </c:pt>
                <c:pt idx="10">
                  <c:v>3</c:v>
                </c:pt>
                <c:pt idx="11">
                  <c:v>-13.900000000000006</c:v>
                </c:pt>
              </c:numCache>
            </c:numRef>
          </c:val>
          <c:extLst>
            <c:ext xmlns:c16="http://schemas.microsoft.com/office/drawing/2014/chart" uri="{C3380CC4-5D6E-409C-BE32-E72D297353CC}">
              <c16:uniqueId val="{00000000-14EA-449A-B5B7-4EAE80CEACFB}"/>
            </c:ext>
          </c:extLst>
        </c:ser>
        <c:dLbls>
          <c:showLegendKey val="0"/>
          <c:showVal val="1"/>
          <c:showCatName val="0"/>
          <c:showSerName val="0"/>
          <c:showPercent val="0"/>
          <c:showBubbleSize val="0"/>
        </c:dLbls>
        <c:gapWidth val="84"/>
        <c:gapDepth val="53"/>
        <c:shape val="box"/>
        <c:axId val="622769968"/>
        <c:axId val="1460712255"/>
        <c:axId val="0"/>
      </c:bar3DChart>
      <c:catAx>
        <c:axId val="62276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0712255"/>
        <c:crosses val="autoZero"/>
        <c:auto val="1"/>
        <c:lblAlgn val="ctr"/>
        <c:lblOffset val="100"/>
        <c:noMultiLvlLbl val="0"/>
      </c:catAx>
      <c:valAx>
        <c:axId val="1460712255"/>
        <c:scaling>
          <c:orientation val="minMax"/>
        </c:scaling>
        <c:delete val="1"/>
        <c:axPos val="l"/>
        <c:numFmt formatCode="General" sourceLinked="1"/>
        <c:majorTickMark val="out"/>
        <c:minorTickMark val="none"/>
        <c:tickLblPos val="nextTo"/>
        <c:crossAx val="62276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4.1!PivotTable1</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4.1'!$R$376</c:f>
              <c:strCache>
                <c:ptCount val="1"/>
                <c:pt idx="0">
                  <c:v> Before COVID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 4.1'!$Q$377:$Q$382</c:f>
              <c:strCache>
                <c:ptCount val="5"/>
                <c:pt idx="0">
                  <c:v>Food &amp; beverage</c:v>
                </c:pt>
                <c:pt idx="1">
                  <c:v>General Index</c:v>
                </c:pt>
                <c:pt idx="2">
                  <c:v>Health</c:v>
                </c:pt>
                <c:pt idx="3">
                  <c:v>Household</c:v>
                </c:pt>
                <c:pt idx="4">
                  <c:v>Transpport</c:v>
                </c:pt>
              </c:strCache>
            </c:strRef>
          </c:cat>
          <c:val>
            <c:numRef>
              <c:f>'Chart 4.1'!$R$377:$R$382</c:f>
              <c:numCache>
                <c:formatCode>0.00</c:formatCode>
                <c:ptCount val="5"/>
                <c:pt idx="0">
                  <c:v>4.3991930524369707</c:v>
                </c:pt>
                <c:pt idx="1">
                  <c:v>4.61145094259453</c:v>
                </c:pt>
                <c:pt idx="2">
                  <c:v>6.2729034875792076</c:v>
                </c:pt>
                <c:pt idx="3">
                  <c:v>4.1084658683936022</c:v>
                </c:pt>
                <c:pt idx="4">
                  <c:v>3.7349607168137395</c:v>
                </c:pt>
              </c:numCache>
            </c:numRef>
          </c:val>
          <c:smooth val="0"/>
          <c:extLst>
            <c:ext xmlns:c16="http://schemas.microsoft.com/office/drawing/2014/chart" uri="{C3380CC4-5D6E-409C-BE32-E72D297353CC}">
              <c16:uniqueId val="{00000000-7335-4784-9DA0-CC6046079E8E}"/>
            </c:ext>
          </c:extLst>
        </c:ser>
        <c:ser>
          <c:idx val="1"/>
          <c:order val="1"/>
          <c:tx>
            <c:strRef>
              <c:f>'Chart 4.1'!$S$376</c:f>
              <c:strCache>
                <c:ptCount val="1"/>
                <c:pt idx="0">
                  <c:v> After COVID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'Chart 4.1'!$Q$377:$Q$382</c:f>
              <c:strCache>
                <c:ptCount val="5"/>
                <c:pt idx="0">
                  <c:v>Food &amp; beverage</c:v>
                </c:pt>
                <c:pt idx="1">
                  <c:v>General Index</c:v>
                </c:pt>
                <c:pt idx="2">
                  <c:v>Health</c:v>
                </c:pt>
                <c:pt idx="3">
                  <c:v>Household</c:v>
                </c:pt>
                <c:pt idx="4">
                  <c:v>Transpport</c:v>
                </c:pt>
              </c:strCache>
            </c:strRef>
          </c:cat>
          <c:val>
            <c:numRef>
              <c:f>'Chart 4.1'!$S$377:$S$382</c:f>
              <c:numCache>
                <c:formatCode>0.00</c:formatCode>
                <c:ptCount val="5"/>
                <c:pt idx="0">
                  <c:v>6.0270616577123688</c:v>
                </c:pt>
                <c:pt idx="1">
                  <c:v>6.0485007341025367</c:v>
                </c:pt>
                <c:pt idx="2">
                  <c:v>6.6432449214682388</c:v>
                </c:pt>
                <c:pt idx="3">
                  <c:v>5.5969563103627511</c:v>
                </c:pt>
                <c:pt idx="4">
                  <c:v>7.694716344742349</c:v>
                </c:pt>
              </c:numCache>
            </c:numRef>
          </c:val>
          <c:smooth val="0"/>
          <c:extLst>
            <c:ext xmlns:c16="http://schemas.microsoft.com/office/drawing/2014/chart" uri="{C3380CC4-5D6E-409C-BE32-E72D297353CC}">
              <c16:uniqueId val="{00000001-7335-4784-9DA0-CC6046079E8E}"/>
            </c:ext>
          </c:extLst>
        </c:ser>
        <c:dLbls>
          <c:showLegendKey val="0"/>
          <c:showVal val="0"/>
          <c:showCatName val="0"/>
          <c:showSerName val="0"/>
          <c:showPercent val="0"/>
          <c:showBubbleSize val="0"/>
        </c:dLbls>
        <c:marker val="1"/>
        <c:smooth val="0"/>
        <c:axId val="287244847"/>
        <c:axId val="192195711"/>
      </c:lineChart>
      <c:catAx>
        <c:axId val="2872448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5711"/>
        <c:crosses val="autoZero"/>
        <c:auto val="1"/>
        <c:lblAlgn val="ctr"/>
        <c:lblOffset val="100"/>
        <c:noMultiLvlLbl val="0"/>
      </c:catAx>
      <c:valAx>
        <c:axId val="192195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72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4.2!PivotTable7</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635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635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6350"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6350">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63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17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4.2'!$B$3</c:f>
              <c:strCache>
                <c:ptCount val="1"/>
                <c:pt idx="0">
                  <c:v>Food &amp; beverage</c:v>
                </c:pt>
              </c:strCache>
            </c:strRef>
          </c:tx>
          <c:spPr>
            <a:ln w="6350"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6350">
                <a:solidFill>
                  <a:schemeClr val="accent1"/>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4.2'!$B$4:$B$42</c:f>
              <c:numCache>
                <c:formatCode>0.0</c:formatCode>
                <c:ptCount val="35"/>
                <c:pt idx="0">
                  <c:v>-1.2931034482758499</c:v>
                </c:pt>
                <c:pt idx="1">
                  <c:v>-7.2674418604647031E-2</c:v>
                </c:pt>
                <c:pt idx="2">
                  <c:v>0.6559766763848438</c:v>
                </c:pt>
                <c:pt idx="3">
                  <c:v>2.4727272727272767</c:v>
                </c:pt>
                <c:pt idx="4">
                  <c:v>3.3309196234612557</c:v>
                </c:pt>
                <c:pt idx="5">
                  <c:v>3.8020086083213651</c:v>
                </c:pt>
                <c:pt idx="6">
                  <c:v>3.182461103253182</c:v>
                </c:pt>
                <c:pt idx="7">
                  <c:v>3.740296400846868</c:v>
                </c:pt>
                <c:pt idx="8">
                  <c:v>6.5527065527065442</c:v>
                </c:pt>
                <c:pt idx="9">
                  <c:v>8.7329992841803996</c:v>
                </c:pt>
                <c:pt idx="10">
                  <c:v>10.952040085898362</c:v>
                </c:pt>
                <c:pt idx="11">
                  <c:v>11.070911722141833</c:v>
                </c:pt>
                <c:pt idx="12">
                  <c:v>9.5342066957787441</c:v>
                </c:pt>
                <c:pt idx="13">
                  <c:v>8.2909090909090946</c:v>
                </c:pt>
                <c:pt idx="14">
                  <c:v>9.6307023895727824</c:v>
                </c:pt>
                <c:pt idx="16">
                  <c:v>7.9187105816398127</c:v>
                </c:pt>
                <c:pt idx="17">
                  <c:v>6.4270905321354617</c:v>
                </c:pt>
                <c:pt idx="18">
                  <c:v>7.6079506511309072</c:v>
                </c:pt>
                <c:pt idx="19">
                  <c:v>7.4829931972789119</c:v>
                </c:pt>
                <c:pt idx="20">
                  <c:v>7.8877005347593663</c:v>
                </c:pt>
                <c:pt idx="21">
                  <c:v>8.4265964450296131</c:v>
                </c:pt>
                <c:pt idx="22">
                  <c:v>6.7096774193548425</c:v>
                </c:pt>
                <c:pt idx="23">
                  <c:v>4.8859934853420199</c:v>
                </c:pt>
                <c:pt idx="24">
                  <c:v>4.2524916943521633</c:v>
                </c:pt>
                <c:pt idx="25">
                  <c:v>5.2384150436534469</c:v>
                </c:pt>
                <c:pt idx="26">
                  <c:v>4.3593130779392304</c:v>
                </c:pt>
                <c:pt idx="28">
                  <c:v>5.5844155844155807</c:v>
                </c:pt>
                <c:pt idx="29">
                  <c:v>6.4935064935064926</c:v>
                </c:pt>
                <c:pt idx="30">
                  <c:v>4.4585987261146496</c:v>
                </c:pt>
                <c:pt idx="31">
                  <c:v>3.79746835443038</c:v>
                </c:pt>
                <c:pt idx="32">
                  <c:v>3.903345724907052</c:v>
                </c:pt>
                <c:pt idx="33">
                  <c:v>3.035822707953856</c:v>
                </c:pt>
                <c:pt idx="34">
                  <c:v>1.6928657799274383</c:v>
                </c:pt>
              </c:numCache>
            </c:numRef>
          </c:val>
          <c:smooth val="0"/>
          <c:extLst>
            <c:ext xmlns:c16="http://schemas.microsoft.com/office/drawing/2014/chart" uri="{C3380CC4-5D6E-409C-BE32-E72D297353CC}">
              <c16:uniqueId val="{00000000-2709-4AFB-945B-7EEAC67F2244}"/>
            </c:ext>
          </c:extLst>
        </c:ser>
        <c:ser>
          <c:idx val="1"/>
          <c:order val="1"/>
          <c:tx>
            <c:strRef>
              <c:f>'Chart 4.2'!$C$3</c:f>
              <c:strCache>
                <c:ptCount val="1"/>
                <c:pt idx="0">
                  <c:v>Household</c:v>
                </c:pt>
              </c:strCache>
            </c:strRef>
          </c:tx>
          <c:spPr>
            <a:ln w="63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a:solidFill>
                  <a:schemeClr val="accent2"/>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4.2'!$C$4:$C$42</c:f>
              <c:numCache>
                <c:formatCode>0.0</c:formatCode>
                <c:ptCount val="35"/>
                <c:pt idx="0">
                  <c:v>6.4492216456634459</c:v>
                </c:pt>
                <c:pt idx="1">
                  <c:v>6.2869822485207099</c:v>
                </c:pt>
                <c:pt idx="2">
                  <c:v>6.0471976401180072</c:v>
                </c:pt>
                <c:pt idx="3">
                  <c:v>5.1976573938506547</c:v>
                </c:pt>
                <c:pt idx="4">
                  <c:v>4.6579330422125222</c:v>
                </c:pt>
                <c:pt idx="5">
                  <c:v>4.5685279187817134</c:v>
                </c:pt>
                <c:pt idx="6">
                  <c:v>4.2568542568542611</c:v>
                </c:pt>
                <c:pt idx="7">
                  <c:v>3.7302725968436068</c:v>
                </c:pt>
                <c:pt idx="8">
                  <c:v>3.7938439513242743</c:v>
                </c:pt>
                <c:pt idx="9">
                  <c:v>2.1800281293952342</c:v>
                </c:pt>
                <c:pt idx="10">
                  <c:v>2.5316455696202693</c:v>
                </c:pt>
                <c:pt idx="11">
                  <c:v>2.0949720670391065</c:v>
                </c:pt>
                <c:pt idx="12">
                  <c:v>1.9498607242339914</c:v>
                </c:pt>
                <c:pt idx="13">
                  <c:v>1.8789144050104505</c:v>
                </c:pt>
                <c:pt idx="16">
                  <c:v>1.8080667593880348</c:v>
                </c:pt>
                <c:pt idx="17">
                  <c:v>1.5256588072122172</c:v>
                </c:pt>
                <c:pt idx="18">
                  <c:v>2.698961937716267</c:v>
                </c:pt>
                <c:pt idx="19">
                  <c:v>2.83540802213001</c:v>
                </c:pt>
                <c:pt idx="20">
                  <c:v>2.5517241379310267</c:v>
                </c:pt>
                <c:pt idx="21">
                  <c:v>2.6841018582243477</c:v>
                </c:pt>
                <c:pt idx="22">
                  <c:v>2.6748971193415483</c:v>
                </c:pt>
                <c:pt idx="23">
                  <c:v>2.5991792065663555</c:v>
                </c:pt>
                <c:pt idx="24">
                  <c:v>3.0737704918032787</c:v>
                </c:pt>
                <c:pt idx="25">
                  <c:v>3.2786885245901525</c:v>
                </c:pt>
                <c:pt idx="28">
                  <c:v>5.7377049180327901</c:v>
                </c:pt>
                <c:pt idx="29">
                  <c:v>6.4207650273224077</c:v>
                </c:pt>
                <c:pt idx="30">
                  <c:v>6.1320754716981094</c:v>
                </c:pt>
                <c:pt idx="31">
                  <c:v>5.9179556153328932</c:v>
                </c:pt>
                <c:pt idx="32">
                  <c:v>6.5232010759919428</c:v>
                </c:pt>
                <c:pt idx="33">
                  <c:v>6.7694369973190502</c:v>
                </c:pt>
                <c:pt idx="34">
                  <c:v>7.0140280561122248</c:v>
                </c:pt>
              </c:numCache>
            </c:numRef>
          </c:val>
          <c:smooth val="0"/>
          <c:extLst>
            <c:ext xmlns:c16="http://schemas.microsoft.com/office/drawing/2014/chart" uri="{C3380CC4-5D6E-409C-BE32-E72D297353CC}">
              <c16:uniqueId val="{00000001-2709-4AFB-945B-7EEAC67F2244}"/>
            </c:ext>
          </c:extLst>
        </c:ser>
        <c:ser>
          <c:idx val="2"/>
          <c:order val="2"/>
          <c:tx>
            <c:strRef>
              <c:f>'Chart 4.2'!$D$3</c:f>
              <c:strCache>
                <c:ptCount val="1"/>
                <c:pt idx="0">
                  <c:v>Healthcare</c:v>
                </c:pt>
              </c:strCache>
            </c:strRef>
          </c:tx>
          <c:spPr>
            <a:ln w="6350"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a:solidFill>
                  <a:schemeClr val="accent3"/>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4.2'!$D$4:$D$42</c:f>
              <c:numCache>
                <c:formatCode>0.0</c:formatCode>
                <c:ptCount val="35"/>
                <c:pt idx="0">
                  <c:v>8.8522130532633021</c:v>
                </c:pt>
                <c:pt idx="1">
                  <c:v>8.8191330343796572</c:v>
                </c:pt>
                <c:pt idx="2">
                  <c:v>8.8607594936708676</c:v>
                </c:pt>
                <c:pt idx="3">
                  <c:v>8.6538461538461675</c:v>
                </c:pt>
                <c:pt idx="4">
                  <c:v>8.3823529411764746</c:v>
                </c:pt>
                <c:pt idx="5">
                  <c:v>8.590308370044065</c:v>
                </c:pt>
                <c:pt idx="6">
                  <c:v>8.3941605839416056</c:v>
                </c:pt>
                <c:pt idx="7">
                  <c:v>8.2062454611474305</c:v>
                </c:pt>
                <c:pt idx="8">
                  <c:v>7.9479768786127174</c:v>
                </c:pt>
                <c:pt idx="9">
                  <c:v>5.489092188599586</c:v>
                </c:pt>
                <c:pt idx="10">
                  <c:v>5.8409570724841746</c:v>
                </c:pt>
                <c:pt idx="11">
                  <c:v>4.34782608695651</c:v>
                </c:pt>
                <c:pt idx="12">
                  <c:v>4.5485871812543035</c:v>
                </c:pt>
                <c:pt idx="13">
                  <c:v>4.6016483516483637</c:v>
                </c:pt>
                <c:pt idx="14">
                  <c:v>3.0779753761969908</c:v>
                </c:pt>
                <c:pt idx="16">
                  <c:v>4.7489823609226596</c:v>
                </c:pt>
                <c:pt idx="17">
                  <c:v>4.3948613928329952</c:v>
                </c:pt>
                <c:pt idx="18">
                  <c:v>4.3771043771043772</c:v>
                </c:pt>
                <c:pt idx="19">
                  <c:v>4.4295302013422777</c:v>
                </c:pt>
                <c:pt idx="20">
                  <c:v>4.6184738955823326</c:v>
                </c:pt>
                <c:pt idx="21">
                  <c:v>4.8699132755169998</c:v>
                </c:pt>
                <c:pt idx="22">
                  <c:v>5.2526595744680886</c:v>
                </c:pt>
                <c:pt idx="23">
                  <c:v>5.3571428571428727</c:v>
                </c:pt>
                <c:pt idx="24">
                  <c:v>6.3282794990112219</c:v>
                </c:pt>
                <c:pt idx="25">
                  <c:v>6.1720288903479821</c:v>
                </c:pt>
                <c:pt idx="28">
                  <c:v>7.7072538860103661</c:v>
                </c:pt>
                <c:pt idx="29">
                  <c:v>8.1606217616580263</c:v>
                </c:pt>
                <c:pt idx="30">
                  <c:v>8.6451612903225836</c:v>
                </c:pt>
                <c:pt idx="31">
                  <c:v>8.2262210796915252</c:v>
                </c:pt>
                <c:pt idx="32">
                  <c:v>8.1893793985924397</c:v>
                </c:pt>
                <c:pt idx="33">
                  <c:v>8.0788804071246929</c:v>
                </c:pt>
                <c:pt idx="34">
                  <c:v>7.7700568540745305</c:v>
                </c:pt>
              </c:numCache>
            </c:numRef>
          </c:val>
          <c:smooth val="0"/>
          <c:extLst>
            <c:ext xmlns:c16="http://schemas.microsoft.com/office/drawing/2014/chart" uri="{C3380CC4-5D6E-409C-BE32-E72D297353CC}">
              <c16:uniqueId val="{00000002-2709-4AFB-945B-7EEAC67F2244}"/>
            </c:ext>
          </c:extLst>
        </c:ser>
        <c:ser>
          <c:idx val="3"/>
          <c:order val="3"/>
          <c:tx>
            <c:strRef>
              <c:f>'Chart 4.2'!$E$3</c:f>
              <c:strCache>
                <c:ptCount val="1"/>
                <c:pt idx="0">
                  <c:v> Geneal Index</c:v>
                </c:pt>
              </c:strCache>
            </c:strRef>
          </c:tx>
          <c:spPr>
            <a:ln w="6350"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a:solidFill>
                  <a:schemeClr val="accent4"/>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4.2'!$E$4:$E$42</c:f>
              <c:numCache>
                <c:formatCode>0.0</c:formatCode>
                <c:ptCount val="35"/>
                <c:pt idx="0">
                  <c:v>1.972242512783045</c:v>
                </c:pt>
                <c:pt idx="1">
                  <c:v>2.5659824046920821</c:v>
                </c:pt>
                <c:pt idx="2">
                  <c:v>2.8571428571428612</c:v>
                </c:pt>
                <c:pt idx="3">
                  <c:v>3.5740335521517181</c:v>
                </c:pt>
                <c:pt idx="4">
                  <c:v>3.7010159651669037</c:v>
                </c:pt>
                <c:pt idx="5">
                  <c:v>4.115523465703963</c:v>
                </c:pt>
                <c:pt idx="6">
                  <c:v>3.7195994277539257</c:v>
                </c:pt>
                <c:pt idx="7">
                  <c:v>3.8461538461538498</c:v>
                </c:pt>
                <c:pt idx="8">
                  <c:v>4.9928673323823114</c:v>
                </c:pt>
                <c:pt idx="9">
                  <c:v>5.5397727272727151</c:v>
                </c:pt>
                <c:pt idx="10">
                  <c:v>6.8181818181818139</c:v>
                </c:pt>
                <c:pt idx="11">
                  <c:v>7.2091363311920027</c:v>
                </c:pt>
                <c:pt idx="12">
                  <c:v>6.8051575931232096</c:v>
                </c:pt>
                <c:pt idx="13">
                  <c:v>6.2187276626161463</c:v>
                </c:pt>
                <c:pt idx="16">
                  <c:v>6.2281315605318444</c:v>
                </c:pt>
                <c:pt idx="17">
                  <c:v>5.27045769764218</c:v>
                </c:pt>
                <c:pt idx="18">
                  <c:v>6.1379310344827624</c:v>
                </c:pt>
                <c:pt idx="19">
                  <c:v>6.1042524005486802</c:v>
                </c:pt>
                <c:pt idx="20">
                  <c:v>6.2500000000000124</c:v>
                </c:pt>
                <c:pt idx="21">
                  <c:v>6.594885598923292</c:v>
                </c:pt>
                <c:pt idx="22">
                  <c:v>5.6515957446808507</c:v>
                </c:pt>
                <c:pt idx="23">
                  <c:v>4.7270306258322385</c:v>
                </c:pt>
                <c:pt idx="24">
                  <c:v>5.0301810865191152</c:v>
                </c:pt>
                <c:pt idx="25">
                  <c:v>5.5181695827725559</c:v>
                </c:pt>
                <c:pt idx="28">
                  <c:v>6.2582345191040831</c:v>
                </c:pt>
                <c:pt idx="29">
                  <c:v>7.0487483530961708</c:v>
                </c:pt>
                <c:pt idx="30">
                  <c:v>6.0428849902534001</c:v>
                </c:pt>
                <c:pt idx="31">
                  <c:v>5.4945054945054954</c:v>
                </c:pt>
                <c:pt idx="32">
                  <c:v>5.8184143222506357</c:v>
                </c:pt>
                <c:pt idx="33">
                  <c:v>5.239898989898979</c:v>
                </c:pt>
                <c:pt idx="34">
                  <c:v>4.5940843297671385</c:v>
                </c:pt>
              </c:numCache>
            </c:numRef>
          </c:val>
          <c:smooth val="0"/>
          <c:extLst>
            <c:ext xmlns:c16="http://schemas.microsoft.com/office/drawing/2014/chart" uri="{C3380CC4-5D6E-409C-BE32-E72D297353CC}">
              <c16:uniqueId val="{00000003-2709-4AFB-945B-7EEAC67F2244}"/>
            </c:ext>
          </c:extLst>
        </c:ser>
        <c:ser>
          <c:idx val="4"/>
          <c:order val="4"/>
          <c:tx>
            <c:strRef>
              <c:f>'Chart 4.2'!$F$3</c:f>
              <c:strCache>
                <c:ptCount val="1"/>
                <c:pt idx="0">
                  <c:v>Transport</c:v>
                </c:pt>
              </c:strCache>
            </c:strRef>
          </c:tx>
          <c:spPr>
            <a:ln w="317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accent5"/>
                </a:solidFill>
                <a:round/>
              </a:ln>
              <a:effectLst>
                <a:outerShdw blurRad="57150" dist="19050" dir="5400000" algn="ctr" rotWithShape="0">
                  <a:srgbClr val="000000">
                    <a:alpha val="63000"/>
                  </a:srgbClr>
                </a:outerShdw>
              </a:effectLst>
            </c:spPr>
          </c:marker>
          <c:cat>
            <c:multiLvlStrRef>
              <c:f>'Chart 4.2'!$A$4:$A$42</c:f>
              <c:multiLvlStrCache>
                <c:ptCount val="35"/>
                <c:lvl>
                  <c:pt idx="0">
                    <c:v>January</c:v>
                  </c:pt>
                  <c:pt idx="1">
                    <c:v>February</c:v>
                  </c:pt>
                  <c:pt idx="2">
                    <c:v>March</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pt idx="20">
                    <c:v>October</c:v>
                  </c:pt>
                  <c:pt idx="21">
                    <c:v>November</c:v>
                  </c:pt>
                  <c:pt idx="22">
                    <c:v>December</c:v>
                  </c:pt>
                  <c:pt idx="23">
                    <c:v>January</c:v>
                  </c:pt>
                  <c:pt idx="24">
                    <c:v>February</c:v>
                  </c:pt>
                  <c:pt idx="25">
                    <c:v>March</c:v>
                  </c:pt>
                  <c:pt idx="26">
                    <c:v>April</c:v>
                  </c:pt>
                  <c:pt idx="27">
                    <c:v>May</c:v>
                  </c:pt>
                  <c:pt idx="28">
                    <c:v>June</c:v>
                  </c:pt>
                  <c:pt idx="29">
                    <c:v>July</c:v>
                  </c:pt>
                  <c:pt idx="30">
                    <c:v>August</c:v>
                  </c:pt>
                  <c:pt idx="31">
                    <c:v>September</c:v>
                  </c:pt>
                  <c:pt idx="32">
                    <c:v>October</c:v>
                  </c:pt>
                  <c:pt idx="33">
                    <c:v>November</c:v>
                  </c:pt>
                  <c:pt idx="34">
                    <c:v>December</c:v>
                  </c:pt>
                </c:lvl>
                <c:lvl>
                  <c:pt idx="0">
                    <c:v>2019</c:v>
                  </c:pt>
                  <c:pt idx="11">
                    <c:v>2020</c:v>
                  </c:pt>
                  <c:pt idx="23">
                    <c:v>2021</c:v>
                  </c:pt>
                </c:lvl>
              </c:multiLvlStrCache>
            </c:multiLvlStrRef>
          </c:cat>
          <c:val>
            <c:numRef>
              <c:f>'Chart 4.2'!$F$4:$F$42</c:f>
              <c:numCache>
                <c:formatCode>0.0</c:formatCode>
                <c:ptCount val="35"/>
                <c:pt idx="0">
                  <c:v>3.3528918692372169</c:v>
                </c:pt>
                <c:pt idx="1">
                  <c:v>3.0782029950083216</c:v>
                </c:pt>
                <c:pt idx="2">
                  <c:v>2.9752066115702429</c:v>
                </c:pt>
                <c:pt idx="3">
                  <c:v>2.4610336341263328</c:v>
                </c:pt>
                <c:pt idx="4">
                  <c:v>1.3832384052074764</c:v>
                </c:pt>
                <c:pt idx="5">
                  <c:v>1.5359741309619979</c:v>
                </c:pt>
                <c:pt idx="6">
                  <c:v>1.7799352750809085</c:v>
                </c:pt>
                <c:pt idx="7">
                  <c:v>1.4481094127111804</c:v>
                </c:pt>
                <c:pt idx="8">
                  <c:v>0.23809523809523581</c:v>
                </c:pt>
                <c:pt idx="9">
                  <c:v>0.87649402390437803</c:v>
                </c:pt>
                <c:pt idx="10">
                  <c:v>3.4262948207171409</c:v>
                </c:pt>
                <c:pt idx="11">
                  <c:v>5.9061488673139255</c:v>
                </c:pt>
                <c:pt idx="12">
                  <c:v>5.677210056772112</c:v>
                </c:pt>
                <c:pt idx="13">
                  <c:v>4.8426150121065374</c:v>
                </c:pt>
                <c:pt idx="16">
                  <c:v>8.3467094703049796</c:v>
                </c:pt>
                <c:pt idx="17">
                  <c:v>7.4840764331210243</c:v>
                </c:pt>
                <c:pt idx="18">
                  <c:v>10.095389507154215</c:v>
                </c:pt>
                <c:pt idx="19">
                  <c:v>10.705789056304521</c:v>
                </c:pt>
                <c:pt idx="20">
                  <c:v>11.322248614410132</c:v>
                </c:pt>
                <c:pt idx="21">
                  <c:v>10.900473933649298</c:v>
                </c:pt>
                <c:pt idx="22">
                  <c:v>8.3975346687210912</c:v>
                </c:pt>
                <c:pt idx="23">
                  <c:v>8.4033613445378137</c:v>
                </c:pt>
                <c:pt idx="24">
                  <c:v>11.358403683806587</c:v>
                </c:pt>
                <c:pt idx="25">
                  <c:v>12.548113933795213</c:v>
                </c:pt>
                <c:pt idx="28">
                  <c:v>11.629629629629621</c:v>
                </c:pt>
                <c:pt idx="29">
                  <c:v>13.407407407407405</c:v>
                </c:pt>
                <c:pt idx="30">
                  <c:v>11.191335740072201</c:v>
                </c:pt>
                <c:pt idx="31">
                  <c:v>10.315186246418342</c:v>
                </c:pt>
                <c:pt idx="32">
                  <c:v>10.739687055476525</c:v>
                </c:pt>
                <c:pt idx="33">
                  <c:v>10.256410256410261</c:v>
                </c:pt>
                <c:pt idx="34">
                  <c:v>10.660980810234543</c:v>
                </c:pt>
              </c:numCache>
            </c:numRef>
          </c:val>
          <c:smooth val="0"/>
          <c:extLst>
            <c:ext xmlns:c16="http://schemas.microsoft.com/office/drawing/2014/chart" uri="{C3380CC4-5D6E-409C-BE32-E72D297353CC}">
              <c16:uniqueId val="{00000004-2709-4AFB-945B-7EEAC67F2244}"/>
            </c:ext>
          </c:extLst>
        </c:ser>
        <c:dLbls>
          <c:showLegendKey val="0"/>
          <c:showVal val="0"/>
          <c:showCatName val="0"/>
          <c:showSerName val="0"/>
          <c:showPercent val="0"/>
          <c:showBubbleSize val="0"/>
        </c:dLbls>
        <c:marker val="1"/>
        <c:smooth val="0"/>
        <c:axId val="1561342687"/>
        <c:axId val="1460721375"/>
      </c:lineChart>
      <c:catAx>
        <c:axId val="15613426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721375"/>
        <c:crosses val="autoZero"/>
        <c:auto val="1"/>
        <c:lblAlgn val="ctr"/>
        <c:lblOffset val="100"/>
        <c:noMultiLvlLbl val="0"/>
      </c:catAx>
      <c:valAx>
        <c:axId val="146072137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34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Study.xlsx]Chart 5!PivotTable2</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Correlation between Crude Oil with other categories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numFmt formatCode="#,##0.0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0.0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0.0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5'!$AT$322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numFmt formatCode="#,##0.0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 5'!$AS$323:$AS$334</c:f>
              <c:strCache>
                <c:ptCount val="11"/>
                <c:pt idx="0">
                  <c:v>Clothing</c:v>
                </c:pt>
                <c:pt idx="1">
                  <c:v>Education</c:v>
                </c:pt>
                <c:pt idx="2">
                  <c:v>Food &amp; Beverage</c:v>
                </c:pt>
                <c:pt idx="3">
                  <c:v>Fuel and Light</c:v>
                </c:pt>
                <c:pt idx="4">
                  <c:v>General Index</c:v>
                </c:pt>
                <c:pt idx="5">
                  <c:v>Healthcare</c:v>
                </c:pt>
                <c:pt idx="6">
                  <c:v>Household</c:v>
                </c:pt>
                <c:pt idx="7">
                  <c:v>Housing</c:v>
                </c:pt>
                <c:pt idx="8">
                  <c:v>Personal Care</c:v>
                </c:pt>
                <c:pt idx="9">
                  <c:v>Transport</c:v>
                </c:pt>
                <c:pt idx="10">
                  <c:v>(blank)</c:v>
                </c:pt>
              </c:strCache>
            </c:strRef>
          </c:cat>
          <c:val>
            <c:numRef>
              <c:f>'Chart 5'!$AT$323:$AT$334</c:f>
              <c:numCache>
                <c:formatCode>General</c:formatCode>
                <c:ptCount val="11"/>
                <c:pt idx="0">
                  <c:v>0.25592996506591298</c:v>
                </c:pt>
                <c:pt idx="1">
                  <c:v>0.11182567087214877</c:v>
                </c:pt>
                <c:pt idx="2">
                  <c:v>-0.11221849780136414</c:v>
                </c:pt>
                <c:pt idx="3">
                  <c:v>-2.6009658643739591E-2</c:v>
                </c:pt>
                <c:pt idx="4">
                  <c:v>-9.1401196358344511E-2</c:v>
                </c:pt>
                <c:pt idx="5">
                  <c:v>0.29682663117031027</c:v>
                </c:pt>
                <c:pt idx="6">
                  <c:v>0.23787205762233332</c:v>
                </c:pt>
                <c:pt idx="7">
                  <c:v>-0.18782381563551392</c:v>
                </c:pt>
                <c:pt idx="8">
                  <c:v>4.8900542484075216E-2</c:v>
                </c:pt>
                <c:pt idx="9">
                  <c:v>-2.7788791759460876E-2</c:v>
                </c:pt>
              </c:numCache>
            </c:numRef>
          </c:val>
          <c:extLst>
            <c:ext xmlns:c16="http://schemas.microsoft.com/office/drawing/2014/chart" uri="{C3380CC4-5D6E-409C-BE32-E72D297353CC}">
              <c16:uniqueId val="{00000000-E26D-413B-A206-7F0705090E60}"/>
            </c:ext>
          </c:extLst>
        </c:ser>
        <c:dLbls>
          <c:showLegendKey val="0"/>
          <c:showVal val="1"/>
          <c:showCatName val="0"/>
          <c:showSerName val="0"/>
          <c:showPercent val="0"/>
          <c:showBubbleSize val="0"/>
        </c:dLbls>
        <c:gapWidth val="84"/>
        <c:gapDepth val="53"/>
        <c:shape val="box"/>
        <c:axId val="183797631"/>
        <c:axId val="192206751"/>
        <c:axId val="0"/>
      </c:bar3DChart>
      <c:catAx>
        <c:axId val="183797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206751"/>
        <c:crosses val="autoZero"/>
        <c:auto val="1"/>
        <c:lblAlgn val="ctr"/>
        <c:lblOffset val="100"/>
        <c:noMultiLvlLbl val="0"/>
      </c:catAx>
      <c:valAx>
        <c:axId val="192206751"/>
        <c:scaling>
          <c:orientation val="minMax"/>
        </c:scaling>
        <c:delete val="1"/>
        <c:axPos val="l"/>
        <c:numFmt formatCode="General" sourceLinked="1"/>
        <c:majorTickMark val="out"/>
        <c:minorTickMark val="none"/>
        <c:tickLblPos val="nextTo"/>
        <c:crossAx val="18379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23</xdr:col>
      <xdr:colOff>426720</xdr:colOff>
      <xdr:row>374</xdr:row>
      <xdr:rowOff>152400</xdr:rowOff>
    </xdr:from>
    <xdr:to>
      <xdr:col>35</xdr:col>
      <xdr:colOff>7620</xdr:colOff>
      <xdr:row>394</xdr:row>
      <xdr:rowOff>144780</xdr:rowOff>
    </xdr:to>
    <xdr:graphicFrame macro="">
      <xdr:nvGraphicFramePr>
        <xdr:cNvPr id="2" name="Chart 1">
          <a:extLst>
            <a:ext uri="{FF2B5EF4-FFF2-40B4-BE49-F238E27FC236}">
              <a16:creationId xmlns:a16="http://schemas.microsoft.com/office/drawing/2014/main" id="{E96C28E1-0A92-AEA7-39D5-15F5EC2B7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320040</xdr:colOff>
      <xdr:row>373</xdr:row>
      <xdr:rowOff>175260</xdr:rowOff>
    </xdr:from>
    <xdr:to>
      <xdr:col>40</xdr:col>
      <xdr:colOff>114300</xdr:colOff>
      <xdr:row>390</xdr:row>
      <xdr:rowOff>137160</xdr:rowOff>
    </xdr:to>
    <xdr:graphicFrame macro="">
      <xdr:nvGraphicFramePr>
        <xdr:cNvPr id="2" name="Chart 1">
          <a:extLst>
            <a:ext uri="{FF2B5EF4-FFF2-40B4-BE49-F238E27FC236}">
              <a16:creationId xmlns:a16="http://schemas.microsoft.com/office/drawing/2014/main" id="{F2750B63-F616-DF01-BFBB-80A75722B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32</xdr:col>
      <xdr:colOff>381000</xdr:colOff>
      <xdr:row>374</xdr:row>
      <xdr:rowOff>106680</xdr:rowOff>
    </xdr:from>
    <xdr:to>
      <xdr:col>40</xdr:col>
      <xdr:colOff>76200</xdr:colOff>
      <xdr:row>389</xdr:row>
      <xdr:rowOff>106680</xdr:rowOff>
    </xdr:to>
    <xdr:graphicFrame macro="">
      <xdr:nvGraphicFramePr>
        <xdr:cNvPr id="3" name="Chart 2">
          <a:extLst>
            <a:ext uri="{FF2B5EF4-FFF2-40B4-BE49-F238E27FC236}">
              <a16:creationId xmlns:a16="http://schemas.microsoft.com/office/drawing/2014/main" id="{60A7254C-D652-D06E-B9DE-0ABA75494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114300</xdr:colOff>
      <xdr:row>374</xdr:row>
      <xdr:rowOff>160020</xdr:rowOff>
    </xdr:from>
    <xdr:to>
      <xdr:col>30</xdr:col>
      <xdr:colOff>434340</xdr:colOff>
      <xdr:row>394</xdr:row>
      <xdr:rowOff>144780</xdr:rowOff>
    </xdr:to>
    <xdr:graphicFrame macro="">
      <xdr:nvGraphicFramePr>
        <xdr:cNvPr id="2" name="Chart 1">
          <a:extLst>
            <a:ext uri="{FF2B5EF4-FFF2-40B4-BE49-F238E27FC236}">
              <a16:creationId xmlns:a16="http://schemas.microsoft.com/office/drawing/2014/main" id="{EFFC534D-BCFA-5DDF-9568-5B9567FB1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563880</xdr:colOff>
      <xdr:row>374</xdr:row>
      <xdr:rowOff>152400</xdr:rowOff>
    </xdr:from>
    <xdr:to>
      <xdr:col>35</xdr:col>
      <xdr:colOff>259080</xdr:colOff>
      <xdr:row>389</xdr:row>
      <xdr:rowOff>152400</xdr:rowOff>
    </xdr:to>
    <xdr:graphicFrame macro="">
      <xdr:nvGraphicFramePr>
        <xdr:cNvPr id="2" name="Chart 1">
          <a:extLst>
            <a:ext uri="{FF2B5EF4-FFF2-40B4-BE49-F238E27FC236}">
              <a16:creationId xmlns:a16="http://schemas.microsoft.com/office/drawing/2014/main" id="{852E7487-9513-C26F-6A85-07B06FED1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236220</xdr:colOff>
      <xdr:row>6</xdr:row>
      <xdr:rowOff>76200</xdr:rowOff>
    </xdr:from>
    <xdr:to>
      <xdr:col>18</xdr:col>
      <xdr:colOff>457200</xdr:colOff>
      <xdr:row>23</xdr:row>
      <xdr:rowOff>15240</xdr:rowOff>
    </xdr:to>
    <xdr:graphicFrame macro="">
      <xdr:nvGraphicFramePr>
        <xdr:cNvPr id="4" name="Chart 3">
          <a:extLst>
            <a:ext uri="{FF2B5EF4-FFF2-40B4-BE49-F238E27FC236}">
              <a16:creationId xmlns:a16="http://schemas.microsoft.com/office/drawing/2014/main" id="{B8D9F29E-E795-7BD3-5A8A-2E856E953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0.34589</cdr:x>
      <cdr:y>0.10539</cdr:y>
    </cdr:from>
    <cdr:to>
      <cdr:x>0.34665</cdr:x>
      <cdr:y>0.72151</cdr:y>
    </cdr:to>
    <cdr:cxnSp macro="">
      <cdr:nvCxnSpPr>
        <cdr:cNvPr id="3" name="Straight Connector 2">
          <a:extLst xmlns:a="http://schemas.openxmlformats.org/drawingml/2006/main">
            <a:ext uri="{FF2B5EF4-FFF2-40B4-BE49-F238E27FC236}">
              <a16:creationId xmlns:a16="http://schemas.microsoft.com/office/drawing/2014/main" id="{1BDEC0AD-2332-DCE9-DF5C-791D3D991B47}"/>
            </a:ext>
          </a:extLst>
        </cdr:cNvPr>
        <cdr:cNvCxnSpPr/>
      </cdr:nvCxnSpPr>
      <cdr:spPr>
        <a:xfrm xmlns:a="http://schemas.openxmlformats.org/drawingml/2006/main" flipH="1" flipV="1">
          <a:off x="2606697" y="321229"/>
          <a:ext cx="5727" cy="1877933"/>
        </a:xfrm>
        <a:prstGeom xmlns:a="http://schemas.openxmlformats.org/drawingml/2006/main" prst="line">
          <a:avLst/>
        </a:prstGeom>
        <a:ln xmlns:a="http://schemas.openxmlformats.org/drawingml/2006/main" w="12700">
          <a:solidFill>
            <a:srgbClr val="FF0000"/>
          </a:solidFill>
          <a:prstDash val="dash"/>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twoCellAnchor>
    <xdr:from>
      <xdr:col>43</xdr:col>
      <xdr:colOff>408214</xdr:colOff>
      <xdr:row>336</xdr:row>
      <xdr:rowOff>104503</xdr:rowOff>
    </xdr:from>
    <xdr:to>
      <xdr:col>53</xdr:col>
      <xdr:colOff>339634</xdr:colOff>
      <xdr:row>379</xdr:row>
      <xdr:rowOff>20683</xdr:rowOff>
    </xdr:to>
    <xdr:graphicFrame macro="">
      <xdr:nvGraphicFramePr>
        <xdr:cNvPr id="2" name="Chart 1">
          <a:extLst>
            <a:ext uri="{FF2B5EF4-FFF2-40B4-BE49-F238E27FC236}">
              <a16:creationId xmlns:a16="http://schemas.microsoft.com/office/drawing/2014/main" id="{0FB72B30-4782-29CF-8F0C-30179DE2C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13</xdr:row>
      <xdr:rowOff>0</xdr:rowOff>
    </xdr:from>
    <xdr:to>
      <xdr:col>10</xdr:col>
      <xdr:colOff>83820</xdr:colOff>
      <xdr:row>30</xdr:row>
      <xdr:rowOff>30480</xdr:rowOff>
    </xdr:to>
    <xdr:graphicFrame macro="">
      <xdr:nvGraphicFramePr>
        <xdr:cNvPr id="2" name="Chart 1">
          <a:extLst>
            <a:ext uri="{FF2B5EF4-FFF2-40B4-BE49-F238E27FC236}">
              <a16:creationId xmlns:a16="http://schemas.microsoft.com/office/drawing/2014/main" id="{99D8A3C0-1A70-4CA2-AB30-8C0680169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13</xdr:row>
      <xdr:rowOff>22860</xdr:rowOff>
    </xdr:from>
    <xdr:to>
      <xdr:col>20</xdr:col>
      <xdr:colOff>152400</xdr:colOff>
      <xdr:row>30</xdr:row>
      <xdr:rowOff>129540</xdr:rowOff>
    </xdr:to>
    <xdr:graphicFrame macro="">
      <xdr:nvGraphicFramePr>
        <xdr:cNvPr id="3" name="Chart 2">
          <a:extLst>
            <a:ext uri="{FF2B5EF4-FFF2-40B4-BE49-F238E27FC236}">
              <a16:creationId xmlns:a16="http://schemas.microsoft.com/office/drawing/2014/main" id="{61815129-EBC5-400F-9192-3D7FB54C6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0</xdr:rowOff>
    </xdr:from>
    <xdr:to>
      <xdr:col>10</xdr:col>
      <xdr:colOff>243840</xdr:colOff>
      <xdr:row>60</xdr:row>
      <xdr:rowOff>106680</xdr:rowOff>
    </xdr:to>
    <xdr:graphicFrame macro="">
      <xdr:nvGraphicFramePr>
        <xdr:cNvPr id="4" name="Chart 3">
          <a:extLst>
            <a:ext uri="{FF2B5EF4-FFF2-40B4-BE49-F238E27FC236}">
              <a16:creationId xmlns:a16="http://schemas.microsoft.com/office/drawing/2014/main" id="{8F66AE60-5348-4CED-93EB-4F5CFFD61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41</xdr:row>
      <xdr:rowOff>0</xdr:rowOff>
    </xdr:from>
    <xdr:to>
      <xdr:col>21</xdr:col>
      <xdr:colOff>556260</xdr:colOff>
      <xdr:row>60</xdr:row>
      <xdr:rowOff>167640</xdr:rowOff>
    </xdr:to>
    <xdr:graphicFrame macro="">
      <xdr:nvGraphicFramePr>
        <xdr:cNvPr id="5" name="Chart 4">
          <a:extLst>
            <a:ext uri="{FF2B5EF4-FFF2-40B4-BE49-F238E27FC236}">
              <a16:creationId xmlns:a16="http://schemas.microsoft.com/office/drawing/2014/main" id="{EEF90131-26E7-47D2-BAE2-2AF124543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68</xdr:row>
      <xdr:rowOff>129540</xdr:rowOff>
    </xdr:from>
    <xdr:to>
      <xdr:col>8</xdr:col>
      <xdr:colOff>175260</xdr:colOff>
      <xdr:row>85</xdr:row>
      <xdr:rowOff>106680</xdr:rowOff>
    </xdr:to>
    <xdr:graphicFrame macro="">
      <xdr:nvGraphicFramePr>
        <xdr:cNvPr id="6" name="Chart 5">
          <a:extLst>
            <a:ext uri="{FF2B5EF4-FFF2-40B4-BE49-F238E27FC236}">
              <a16:creationId xmlns:a16="http://schemas.microsoft.com/office/drawing/2014/main" id="{59A09810-9CB1-4CF2-817E-7AF94B8CF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289560</xdr:colOff>
      <xdr:row>68</xdr:row>
      <xdr:rowOff>114300</xdr:rowOff>
    </xdr:from>
    <xdr:to>
      <xdr:col>21</xdr:col>
      <xdr:colOff>594360</xdr:colOff>
      <xdr:row>85</xdr:row>
      <xdr:rowOff>99060</xdr:rowOff>
    </xdr:to>
    <xdr:graphicFrame macro="">
      <xdr:nvGraphicFramePr>
        <xdr:cNvPr id="7" name="Chart 6">
          <a:extLst>
            <a:ext uri="{FF2B5EF4-FFF2-40B4-BE49-F238E27FC236}">
              <a16:creationId xmlns:a16="http://schemas.microsoft.com/office/drawing/2014/main" id="{FC63356E-2A6F-45C6-98E6-40945C196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94</xdr:row>
      <xdr:rowOff>0</xdr:rowOff>
    </xdr:from>
    <xdr:to>
      <xdr:col>11</xdr:col>
      <xdr:colOff>0</xdr:colOff>
      <xdr:row>112</xdr:row>
      <xdr:rowOff>99060</xdr:rowOff>
    </xdr:to>
    <xdr:graphicFrame macro="">
      <xdr:nvGraphicFramePr>
        <xdr:cNvPr id="8" name="Chart 7">
          <a:extLst>
            <a:ext uri="{FF2B5EF4-FFF2-40B4-BE49-F238E27FC236}">
              <a16:creationId xmlns:a16="http://schemas.microsoft.com/office/drawing/2014/main" id="{82D7F6B6-C44A-4EA3-AA0D-11093A721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384586</xdr:colOff>
      <xdr:row>65</xdr:row>
      <xdr:rowOff>178397</xdr:rowOff>
    </xdr:from>
    <xdr:to>
      <xdr:col>25</xdr:col>
      <xdr:colOff>384586</xdr:colOff>
      <xdr:row>79</xdr:row>
      <xdr:rowOff>135254</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55760C0F-BD87-9F04-BFBE-4400C1A5C5A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795786" y="1228075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115644</xdr:colOff>
      <xdr:row>23</xdr:row>
      <xdr:rowOff>145229</xdr:rowOff>
    </xdr:from>
    <xdr:to>
      <xdr:col>24</xdr:col>
      <xdr:colOff>115644</xdr:colOff>
      <xdr:row>36</xdr:row>
      <xdr:rowOff>173804</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59BF960F-388F-FFCC-8806-E2DE65C4C2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917244" y="455586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125506</xdr:colOff>
      <xdr:row>4</xdr:row>
      <xdr:rowOff>89647</xdr:rowOff>
    </xdr:from>
    <xdr:to>
      <xdr:col>3</xdr:col>
      <xdr:colOff>430306</xdr:colOff>
      <xdr:row>11</xdr:row>
      <xdr:rowOff>152400</xdr:rowOff>
    </xdr:to>
    <xdr:sp macro="" textlink="">
      <xdr:nvSpPr>
        <xdr:cNvPr id="13" name="Rectangle: Rounded Corners 12">
          <a:extLst>
            <a:ext uri="{FF2B5EF4-FFF2-40B4-BE49-F238E27FC236}">
              <a16:creationId xmlns:a16="http://schemas.microsoft.com/office/drawing/2014/main" id="{7549B5BE-1076-29D9-FAEA-9C3BA4290CEC}"/>
            </a:ext>
          </a:extLst>
        </xdr:cNvPr>
        <xdr:cNvSpPr/>
      </xdr:nvSpPr>
      <xdr:spPr>
        <a:xfrm>
          <a:off x="125506" y="89647"/>
          <a:ext cx="2133600" cy="1317812"/>
        </a:xfrm>
        <a:prstGeom prst="roundRect">
          <a:avLst/>
        </a:prstGeom>
        <a:solidFill>
          <a:schemeClr val="bg2"/>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latin typeface="Aptos" panose="020B0004020202020204" pitchFamily="34" charset="0"/>
              <a:ea typeface="Segoe UI Emoji" panose="020B0502040204020203" pitchFamily="34" charset="0"/>
            </a:rPr>
            <a:t>Rural vs. Urban Inflation Gap</a:t>
          </a:r>
        </a:p>
        <a:p>
          <a:pPr algn="ctr"/>
          <a:r>
            <a:rPr lang="en-US" sz="2800" b="1">
              <a:solidFill>
                <a:schemeClr val="tx1"/>
              </a:solidFill>
            </a:rPr>
            <a:t>1.86</a:t>
          </a:r>
        </a:p>
      </xdr:txBody>
    </xdr:sp>
    <xdr:clientData/>
  </xdr:twoCellAnchor>
  <xdr:twoCellAnchor>
    <xdr:from>
      <xdr:col>4</xdr:col>
      <xdr:colOff>35859</xdr:colOff>
      <xdr:row>4</xdr:row>
      <xdr:rowOff>116541</xdr:rowOff>
    </xdr:from>
    <xdr:to>
      <xdr:col>7</xdr:col>
      <xdr:colOff>475129</xdr:colOff>
      <xdr:row>12</xdr:row>
      <xdr:rowOff>0</xdr:rowOff>
    </xdr:to>
    <xdr:sp macro="" textlink="">
      <xdr:nvSpPr>
        <xdr:cNvPr id="14" name="Rectangle: Rounded Corners 13">
          <a:extLst>
            <a:ext uri="{FF2B5EF4-FFF2-40B4-BE49-F238E27FC236}">
              <a16:creationId xmlns:a16="http://schemas.microsoft.com/office/drawing/2014/main" id="{0093E71D-4BD4-4CE0-B1DB-5AEF96A486EB}"/>
            </a:ext>
          </a:extLst>
        </xdr:cNvPr>
        <xdr:cNvSpPr/>
      </xdr:nvSpPr>
      <xdr:spPr>
        <a:xfrm>
          <a:off x="2474259" y="116541"/>
          <a:ext cx="2268070" cy="1317812"/>
        </a:xfrm>
        <a:prstGeom prst="roundRect">
          <a:avLst/>
        </a:prstGeom>
        <a:solidFill>
          <a:schemeClr val="bg2"/>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latin typeface="Aptos" panose="020B0004020202020204" pitchFamily="34" charset="0"/>
              <a:ea typeface="Segoe UI Emoji" panose="020B0502040204020203" pitchFamily="34" charset="0"/>
            </a:rPr>
            <a:t>10 Year Cumulative Price</a:t>
          </a:r>
          <a:r>
            <a:rPr lang="en-US" sz="1200" b="0" baseline="0">
              <a:solidFill>
                <a:schemeClr val="tx1"/>
              </a:solidFill>
              <a:latin typeface="Aptos" panose="020B0004020202020204" pitchFamily="34" charset="0"/>
              <a:ea typeface="Segoe UI Emoji" panose="020B0502040204020203" pitchFamily="34" charset="0"/>
            </a:rPr>
            <a:t> Rise ( 2013-2023)</a:t>
          </a:r>
          <a:endParaRPr lang="en-US" sz="1200" b="0">
            <a:solidFill>
              <a:schemeClr val="tx1"/>
            </a:solidFill>
            <a:latin typeface="Aptos" panose="020B0004020202020204" pitchFamily="34" charset="0"/>
            <a:ea typeface="Segoe UI Emoji" panose="020B0502040204020203" pitchFamily="34" charset="0"/>
          </a:endParaRPr>
        </a:p>
        <a:p>
          <a:pPr algn="ctr"/>
          <a:r>
            <a:rPr lang="en-US" sz="2800" b="1">
              <a:solidFill>
                <a:schemeClr val="tx1"/>
              </a:solidFill>
            </a:rPr>
            <a:t>0.16</a:t>
          </a:r>
        </a:p>
      </xdr:txBody>
    </xdr:sp>
    <xdr:clientData/>
  </xdr:twoCellAnchor>
  <xdr:twoCellAnchor>
    <xdr:from>
      <xdr:col>8</xdr:col>
      <xdr:colOff>107577</xdr:colOff>
      <xdr:row>4</xdr:row>
      <xdr:rowOff>107576</xdr:rowOff>
    </xdr:from>
    <xdr:to>
      <xdr:col>11</xdr:col>
      <xdr:colOff>484095</xdr:colOff>
      <xdr:row>11</xdr:row>
      <xdr:rowOff>170329</xdr:rowOff>
    </xdr:to>
    <xdr:sp macro="" textlink="">
      <xdr:nvSpPr>
        <xdr:cNvPr id="15" name="Rectangle: Rounded Corners 14">
          <a:extLst>
            <a:ext uri="{FF2B5EF4-FFF2-40B4-BE49-F238E27FC236}">
              <a16:creationId xmlns:a16="http://schemas.microsoft.com/office/drawing/2014/main" id="{DFE8BF24-6562-46E9-A3AF-557972A58F85}"/>
            </a:ext>
          </a:extLst>
        </xdr:cNvPr>
        <xdr:cNvSpPr/>
      </xdr:nvSpPr>
      <xdr:spPr>
        <a:xfrm>
          <a:off x="4984377" y="107576"/>
          <a:ext cx="2205318" cy="1317812"/>
        </a:xfrm>
        <a:prstGeom prst="roundRect">
          <a:avLst/>
        </a:prstGeom>
        <a:solidFill>
          <a:schemeClr val="bg2"/>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latin typeface="Aptos" panose="020B0004020202020204" pitchFamily="34" charset="0"/>
              <a:ea typeface="Segoe UI Emoji" panose="020B0502040204020203" pitchFamily="34" charset="0"/>
            </a:rPr>
            <a:t>Most Volatile Category ( Meat</a:t>
          </a:r>
          <a:r>
            <a:rPr lang="en-US" sz="1200" b="0" baseline="0">
              <a:solidFill>
                <a:schemeClr val="tx1"/>
              </a:solidFill>
              <a:latin typeface="Aptos" panose="020B0004020202020204" pitchFamily="34" charset="0"/>
              <a:ea typeface="Segoe UI Emoji" panose="020B0502040204020203" pitchFamily="34" charset="0"/>
            </a:rPr>
            <a:t> &amp; Fish</a:t>
          </a:r>
          <a:r>
            <a:rPr lang="en-US" sz="1200" b="0">
              <a:solidFill>
                <a:schemeClr val="tx1"/>
              </a:solidFill>
              <a:latin typeface="Aptos" panose="020B0004020202020204" pitchFamily="34" charset="0"/>
              <a:ea typeface="Segoe UI Emoji" panose="020B0502040204020203" pitchFamily="34" charset="0"/>
            </a:rPr>
            <a:t>)</a:t>
          </a:r>
        </a:p>
        <a:p>
          <a:pPr algn="ctr"/>
          <a:r>
            <a:rPr lang="en-US" sz="2800" b="1">
              <a:solidFill>
                <a:schemeClr val="tx1"/>
              </a:solidFill>
            </a:rPr>
            <a:t>33.35</a:t>
          </a:r>
        </a:p>
      </xdr:txBody>
    </xdr:sp>
    <xdr:clientData/>
  </xdr:twoCellAnchor>
  <xdr:twoCellAnchor>
    <xdr:from>
      <xdr:col>12</xdr:col>
      <xdr:colOff>107576</xdr:colOff>
      <xdr:row>4</xdr:row>
      <xdr:rowOff>125505</xdr:rowOff>
    </xdr:from>
    <xdr:to>
      <xdr:col>15</xdr:col>
      <xdr:colOff>493058</xdr:colOff>
      <xdr:row>12</xdr:row>
      <xdr:rowOff>8964</xdr:rowOff>
    </xdr:to>
    <xdr:sp macro="" textlink="">
      <xdr:nvSpPr>
        <xdr:cNvPr id="16" name="Rectangle: Rounded Corners 15">
          <a:extLst>
            <a:ext uri="{FF2B5EF4-FFF2-40B4-BE49-F238E27FC236}">
              <a16:creationId xmlns:a16="http://schemas.microsoft.com/office/drawing/2014/main" id="{8E6F0364-D103-4D10-98A4-CD62717F644F}"/>
            </a:ext>
          </a:extLst>
        </xdr:cNvPr>
        <xdr:cNvSpPr/>
      </xdr:nvSpPr>
      <xdr:spPr>
        <a:xfrm>
          <a:off x="7422776" y="125505"/>
          <a:ext cx="2214282" cy="1317812"/>
        </a:xfrm>
        <a:prstGeom prst="roundRect">
          <a:avLst/>
        </a:prstGeom>
        <a:solidFill>
          <a:schemeClr val="bg2"/>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latin typeface="Aptos" panose="020B0004020202020204" pitchFamily="34" charset="0"/>
              <a:ea typeface="Segoe UI Emoji" panose="020B0502040204020203" pitchFamily="34" charset="0"/>
            </a:rPr>
            <a:t>Lowest Inflation Category (Sugar</a:t>
          </a:r>
          <a:r>
            <a:rPr lang="en-US" sz="1200" b="0" baseline="0">
              <a:solidFill>
                <a:schemeClr val="tx1"/>
              </a:solidFill>
              <a:latin typeface="Aptos" panose="020B0004020202020204" pitchFamily="34" charset="0"/>
              <a:ea typeface="Segoe UI Emoji" panose="020B0502040204020203" pitchFamily="34" charset="0"/>
            </a:rPr>
            <a:t> &amp; Confectionary)</a:t>
          </a:r>
          <a:endParaRPr lang="en-US" sz="1200" b="0">
            <a:solidFill>
              <a:schemeClr val="tx1"/>
            </a:solidFill>
            <a:latin typeface="Aptos" panose="020B0004020202020204" pitchFamily="34" charset="0"/>
            <a:ea typeface="Segoe UI Emoji" panose="020B0502040204020203" pitchFamily="34" charset="0"/>
          </a:endParaRPr>
        </a:p>
        <a:p>
          <a:pPr algn="ctr"/>
          <a:r>
            <a:rPr lang="en-US" sz="2800" b="1">
              <a:solidFill>
                <a:schemeClr val="tx1"/>
              </a:solidFill>
            </a:rPr>
            <a:t>121.02</a:t>
          </a:r>
        </a:p>
      </xdr:txBody>
    </xdr:sp>
    <xdr:clientData/>
  </xdr:twoCellAnchor>
  <xdr:twoCellAnchor>
    <xdr:from>
      <xdr:col>16</xdr:col>
      <xdr:colOff>80682</xdr:colOff>
      <xdr:row>4</xdr:row>
      <xdr:rowOff>125505</xdr:rowOff>
    </xdr:from>
    <xdr:to>
      <xdr:col>19</xdr:col>
      <xdr:colOff>564776</xdr:colOff>
      <xdr:row>12</xdr:row>
      <xdr:rowOff>8964</xdr:rowOff>
    </xdr:to>
    <xdr:sp macro="" textlink="">
      <xdr:nvSpPr>
        <xdr:cNvPr id="17" name="Rectangle: Rounded Corners 16">
          <a:extLst>
            <a:ext uri="{FF2B5EF4-FFF2-40B4-BE49-F238E27FC236}">
              <a16:creationId xmlns:a16="http://schemas.microsoft.com/office/drawing/2014/main" id="{72608D5C-FD96-4776-AFCC-F85DB7F40938}"/>
            </a:ext>
          </a:extLst>
        </xdr:cNvPr>
        <xdr:cNvSpPr/>
      </xdr:nvSpPr>
      <xdr:spPr>
        <a:xfrm>
          <a:off x="9834282" y="125505"/>
          <a:ext cx="2312894" cy="1317812"/>
        </a:xfrm>
        <a:prstGeom prst="roundRect">
          <a:avLst/>
        </a:prstGeom>
        <a:solidFill>
          <a:schemeClr val="bg2"/>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latin typeface="Aptos" panose="020B0004020202020204" pitchFamily="34" charset="0"/>
              <a:ea typeface="Segoe UI Emoji" panose="020B0502040204020203" pitchFamily="34" charset="0"/>
            </a:rPr>
            <a:t>Food &amp; Beverage Inflation Index</a:t>
          </a:r>
        </a:p>
        <a:p>
          <a:pPr algn="ctr"/>
          <a:r>
            <a:rPr lang="en-US" sz="2800" b="1">
              <a:solidFill>
                <a:schemeClr val="tx1"/>
              </a:solidFill>
            </a:rPr>
            <a:t>177.54</a:t>
          </a:r>
        </a:p>
      </xdr:txBody>
    </xdr:sp>
    <xdr:clientData/>
  </xdr:twoCellAnchor>
  <xdr:twoCellAnchor>
    <xdr:from>
      <xdr:col>7</xdr:col>
      <xdr:colOff>457200</xdr:colOff>
      <xdr:row>2</xdr:row>
      <xdr:rowOff>26894</xdr:rowOff>
    </xdr:from>
    <xdr:to>
      <xdr:col>11</xdr:col>
      <xdr:colOff>537882</xdr:colOff>
      <xdr:row>2</xdr:row>
      <xdr:rowOff>26894</xdr:rowOff>
    </xdr:to>
    <xdr:cxnSp macro="">
      <xdr:nvCxnSpPr>
        <xdr:cNvPr id="19" name="Straight Connector 18">
          <a:extLst>
            <a:ext uri="{FF2B5EF4-FFF2-40B4-BE49-F238E27FC236}">
              <a16:creationId xmlns:a16="http://schemas.microsoft.com/office/drawing/2014/main" id="{9B5052DB-0A5E-5499-5168-D9A0CBDF6BE7}"/>
            </a:ext>
          </a:extLst>
        </xdr:cNvPr>
        <xdr:cNvCxnSpPr/>
      </xdr:nvCxnSpPr>
      <xdr:spPr>
        <a:xfrm>
          <a:off x="4724400" y="672353"/>
          <a:ext cx="2519082" cy="0"/>
        </a:xfrm>
        <a:prstGeom prst="line">
          <a:avLst/>
        </a:prstGeom>
        <a:ln w="1270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c:userShapes xmlns:c="http://schemas.openxmlformats.org/drawingml/2006/chart">
  <cdr:relSizeAnchor xmlns:cdr="http://schemas.openxmlformats.org/drawingml/2006/chartDrawing">
    <cdr:from>
      <cdr:x>0.34589</cdr:x>
      <cdr:y>0.10539</cdr:y>
    </cdr:from>
    <cdr:to>
      <cdr:x>0.34665</cdr:x>
      <cdr:y>0.72151</cdr:y>
    </cdr:to>
    <cdr:cxnSp macro="">
      <cdr:nvCxnSpPr>
        <cdr:cNvPr id="3" name="Straight Connector 2">
          <a:extLst xmlns:a="http://schemas.openxmlformats.org/drawingml/2006/main">
            <a:ext uri="{FF2B5EF4-FFF2-40B4-BE49-F238E27FC236}">
              <a16:creationId xmlns:a16="http://schemas.microsoft.com/office/drawing/2014/main" id="{1BDEC0AD-2332-DCE9-DF5C-791D3D991B47}"/>
            </a:ext>
          </a:extLst>
        </cdr:cNvPr>
        <cdr:cNvCxnSpPr/>
      </cdr:nvCxnSpPr>
      <cdr:spPr>
        <a:xfrm xmlns:a="http://schemas.openxmlformats.org/drawingml/2006/main" flipH="1" flipV="1">
          <a:off x="2606697" y="321229"/>
          <a:ext cx="5727" cy="1877933"/>
        </a:xfrm>
        <a:prstGeom xmlns:a="http://schemas.openxmlformats.org/drawingml/2006/main" prst="line">
          <a:avLst/>
        </a:prstGeom>
        <a:ln xmlns:a="http://schemas.openxmlformats.org/drawingml/2006/main" w="12700">
          <a:solidFill>
            <a:srgbClr val="FF0000"/>
          </a:solidFill>
          <a:prstDash val="dash"/>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263778703702" createdVersion="8" refreshedVersion="8" minRefreshableVersion="3" recordCount="13" xr:uid="{BC4907BD-C68B-4F36-B6F6-583E126AF3EF}">
  <cacheSource type="worksheet">
    <worksheetSource ref="A378:B391" sheet="Chart 1"/>
  </cacheSource>
  <cacheFields count="2">
    <cacheField name="Category" numFmtId="0">
      <sharedItems count="13">
        <s v="Pan, Tobaoo"/>
        <s v="Housing"/>
        <s v="Fuel and Light"/>
        <s v="Household"/>
        <s v="Health"/>
        <s v="Transport and communication"/>
        <s v="Recreation and amusement"/>
        <s v="Education"/>
        <s v="Personal care and effects"/>
        <s v="Miscellaneous"/>
        <s v="General index"/>
        <s v="Food Bucket"/>
        <s v="Clothing Bucket"/>
      </sharedItems>
    </cacheField>
    <cacheField name="Index" numFmtId="0">
      <sharedItems containsSemiMixedTypes="0" containsString="0" containsNumber="1" minValue="15.6" maxValue="2127.8000000000002"/>
    </cacheField>
  </cacheFields>
  <extLst>
    <ext xmlns:x14="http://schemas.microsoft.com/office/spreadsheetml/2009/9/main" uri="{725AE2AE-9491-48be-B2B4-4EB974FC3084}">
      <x14:pivotCacheDefinition pivotCacheId="10772784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277016898151" createdVersion="8" refreshedVersion="8" minRefreshableVersion="3" recordCount="7" xr:uid="{30EC1CAC-BE90-4510-9AE1-5D0A0C736890}">
  <cacheSource type="worksheet">
    <worksheetSource ref="A376:C383" sheet="Chart 2"/>
  </cacheSource>
  <cacheFields count="3">
    <cacheField name="Year" numFmtId="0">
      <sharedItems containsSemiMixedTypes="0" containsString="0" containsNumber="1" containsInteger="1" minValue="2017" maxValue="2023" count="7">
        <n v="2017"/>
        <n v="2018"/>
        <n v="2019"/>
        <n v="2020"/>
        <n v="2021"/>
        <n v="2022"/>
        <n v="2023"/>
      </sharedItems>
    </cacheField>
    <cacheField name="Annual Avg Index" numFmtId="164">
      <sharedItems containsSemiMixedTypes="0" containsString="0" containsNumber="1" minValue="133.5794117647059" maxValue="177.76153846153844"/>
    </cacheField>
    <cacheField name="% Inflation" numFmtId="2">
      <sharedItems containsSemiMixedTypes="0" containsString="0" containsNumber="1" minValue="3.0800454981376566" maxValue="6.6733375784590505"/>
    </cacheField>
  </cacheFields>
  <extLst>
    <ext xmlns:x14="http://schemas.microsoft.com/office/spreadsheetml/2009/9/main" uri="{725AE2AE-9491-48be-B2B4-4EB974FC3084}">
      <x14:pivotCacheDefinition pivotCacheId="831160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298890046295" createdVersion="8" refreshedVersion="8" minRefreshableVersion="3" recordCount="13" xr:uid="{DB241630-3D94-4632-86B2-E2164B949CD9}">
  <cacheSource type="worksheet">
    <worksheetSource ref="A376:C389" sheet="Chart 3.1"/>
  </cacheSource>
  <cacheFields count="6">
    <cacheField name="M.O.M" numFmtId="17">
      <sharedItems containsSemiMixedTypes="0" containsNonDate="0" containsDate="1" containsString="0" minDate="2022-05-01T00:00:00" maxDate="2023-05-02T00:00:00" count="13">
        <d v="2022-05-01T00:00:00"/>
        <d v="2022-06-01T00:00:00"/>
        <d v="2022-07-01T00:00:00"/>
        <d v="2022-08-01T00:00:00"/>
        <d v="2022-09-01T00:00:00"/>
        <d v="2022-10-01T00:00:00"/>
        <d v="2022-11-01T00:00:00"/>
        <d v="2022-12-01T00:00:00"/>
        <d v="2023-01-01T00:00:00"/>
        <d v="2023-02-01T00:00:00"/>
        <d v="2023-03-01T00:00:00"/>
        <d v="2023-04-01T00:00:00"/>
        <d v="2023-05-01T00:00:00"/>
      </sharedItems>
      <fieldGroup par="5"/>
    </cacheField>
    <cacheField name="Food &amp; beverage Index" numFmtId="0">
      <sharedItems containsSemiMixedTypes="0" containsString="0" containsNumber="1" minValue="173.3" maxValue="179.6"/>
    </cacheField>
    <cacheField name="Inflation %" numFmtId="0">
      <sharedItems containsString="0" containsBlank="1" containsNumber="1" minValue="-1.3460459899046582" maxValue="1.0123734533183255"/>
    </cacheField>
    <cacheField name="Months (M.O.M)" numFmtId="0" databaseField="0">
      <fieldGroup base="0">
        <rangePr groupBy="months" startDate="2022-05-01T00:00:00" endDate="2023-05-02T00:00:00"/>
        <groupItems count="14">
          <s v="&lt;5/1/2022"/>
          <s v="Jan"/>
          <s v="Feb"/>
          <s v="Mar"/>
          <s v="Apr"/>
          <s v="May"/>
          <s v="Jun"/>
          <s v="Jul"/>
          <s v="Aug"/>
          <s v="Sep"/>
          <s v="Oct"/>
          <s v="Nov"/>
          <s v="Dec"/>
          <s v="&gt;5/2/2023"/>
        </groupItems>
      </fieldGroup>
    </cacheField>
    <cacheField name="Quarters (M.O.M)" numFmtId="0" databaseField="0">
      <fieldGroup base="0">
        <rangePr groupBy="quarters" startDate="2022-05-01T00:00:00" endDate="2023-05-02T00:00:00"/>
        <groupItems count="6">
          <s v="&lt;5/1/2022"/>
          <s v="Qtr1"/>
          <s v="Qtr2"/>
          <s v="Qtr3"/>
          <s v="Qtr4"/>
          <s v="&gt;5/2/2023"/>
        </groupItems>
      </fieldGroup>
    </cacheField>
    <cacheField name="Years (M.O.M)" numFmtId="0" databaseField="0">
      <fieldGroup base="0">
        <rangePr groupBy="years" startDate="2022-05-01T00:00:00" endDate="2023-05-02T00:00:00"/>
        <groupItems count="4">
          <s v="&lt;5/1/2022"/>
          <s v="2022"/>
          <s v="2023"/>
          <s v="&gt;5/2/2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304983564813" createdVersion="8" refreshedVersion="8" minRefreshableVersion="3" recordCount="12" xr:uid="{D38C9670-248E-4BB9-BEF6-8F49ED94B2D9}">
  <cacheSource type="worksheet">
    <worksheetSource ref="A376:D388" sheet="Chart 3.2"/>
  </cacheSource>
  <cacheFields count="4">
    <cacheField name="Category" numFmtId="0">
      <sharedItems count="12">
        <s v="Cereals and products"/>
        <s v="Meat and fish"/>
        <s v="Egg"/>
        <s v="Milk and products"/>
        <s v="Oils and fats"/>
        <s v="Fruits"/>
        <s v="Vegetables"/>
        <s v="Pulses and products"/>
        <s v="Sugar and Confectionery"/>
        <s v="Spices"/>
        <s v="Non-alcoholic beverages"/>
        <s v="Prepared meals, snacks, sweets etc."/>
      </sharedItems>
    </cacheField>
    <cacheField name="May-22" numFmtId="0">
      <sharedItems containsSemiMixedTypes="0" containsString="0" containsNumber="1" minValue="119.7" maxValue="217"/>
    </cacheField>
    <cacheField name="May-23" numFmtId="0">
      <sharedItems containsSemiMixedTypes="0" containsString="0" containsNumber="1" minValue="122.7" maxValue="218"/>
    </cacheField>
    <cacheField name="Absolute Diff" numFmtId="0">
      <sharedItems containsSemiMixedTypes="0" containsString="0" containsNumber="1" minValue="-32.400000000000006" maxValue="33.09999999999999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317717708334" createdVersion="8" refreshedVersion="8" minRefreshableVersion="3" recordCount="372" xr:uid="{A1C54929-9073-4A26-B6CF-F0DB46F1FC86}">
  <cacheSource type="worksheet">
    <worksheetSource ref="A1:AK373" sheet="Chart 4.1"/>
  </cacheSource>
  <cacheFields count="36">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ereals and products" numFmtId="0">
      <sharedItems containsMixedTypes="1" containsNumber="1" minValue="107.5" maxValue="174.8"/>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Period" numFmtId="0">
      <sharedItems containsBlank="1"/>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Blank="1" containsMixedTypes="1" containsNumber="1" minValue="104" maxValue="187.8"/>
    </cacheField>
    <cacheField name="Transport and communication" numFmtId="0">
      <sharedItems containsBlank="1"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Blank="1" containsMixedTypes="1" containsNumber="1" minValue="104" maxValue="179.8"/>
    </cacheField>
    <cacheField name="F&amp;B Inflation" numFmtId="0">
      <sharedItems containsString="0" containsBlank="1" containsNumber="1" minValue="-1.6889514426460281" maxValue="11.070911722141833" count="63">
        <m/>
        <n v="4.5830202854996198"/>
        <n v="3.458646616541349"/>
        <n v="3.0803906836964647"/>
        <n v="2.9962546816479403"/>
        <n v="3.290949887808531"/>
        <n v="3.1065088757396575"/>
        <n v="1.7266187050359754"/>
        <n v="0.78236130867709408"/>
        <n v="1.0071942446043207"/>
        <n v="-0.28551034975018252"/>
        <n v="-1.6889514426460281"/>
        <n v="-1.6370106761565917"/>
        <n v="-1.2931034482758499"/>
        <n v="-7.2674418604647031E-2"/>
        <n v="0.6559766763848438"/>
        <n v="2.4727272727272767"/>
        <n v="3.3309196234612557"/>
        <n v="3.8020086083213651"/>
        <n v="3.182461103253182"/>
        <n v="3.740296400846868"/>
        <n v="6.5527065527065442"/>
        <n v="8.7329992841803996"/>
        <n v="10.952040085898362"/>
        <n v="11.070911722141833"/>
        <n v="9.5342066957787441"/>
        <n v="8.2909090909090946"/>
        <n v="9.6307023895727824"/>
        <n v="7.9187105816398127"/>
        <n v="6.4270905321354617"/>
        <n v="7.6079506511309072"/>
        <n v="7.4829931972789119"/>
        <n v="7.8877005347593663"/>
        <n v="8.4265964450296131"/>
        <n v="6.7096774193548425"/>
        <n v="4.8859934853420199"/>
        <n v="4.2524916943521633"/>
        <n v="5.2384150436534469"/>
        <n v="4.3593130779392304"/>
        <n v="5.5844155844155807"/>
        <n v="6.4935064935064926"/>
        <n v="4.4585987261146496"/>
        <n v="3.79746835443038"/>
        <n v="3.903345724907052"/>
        <n v="3.035822707953856"/>
        <n v="1.6928657799274383"/>
        <n v="3.354037267080749"/>
        <n v="5.9273422562141382"/>
        <n v="7.4664964901084989"/>
        <n v="8.1012658227848178"/>
        <n v="7.8406969508400897"/>
        <n v="7.5645756457564648"/>
        <n v="6.7073170731707323"/>
        <n v="7.5000000000000071"/>
        <n v="8.41463414634147"/>
        <n v="7.0960047704233791"/>
        <n v="5.0677666470241736"/>
        <n v="4.5778834720570849"/>
        <n v="6.189903846153836"/>
        <n v="6.4981949458483834"/>
        <n v="5.1068883610451268"/>
        <n v="4.1569086651053828"/>
        <n v="3.3467974610501918"/>
      </sharedItems>
    </cacheField>
    <cacheField name="Household Inflation" numFmtId="0">
      <sharedItems containsString="0" containsBlank="1" containsNumber="1" minValue="1.5256588072122172" maxValue="8.0368906455862898"/>
    </cacheField>
    <cacheField name="Health Inflation" numFmtId="0">
      <sharedItems containsString="0" containsBlank="1" containsNumber="1" minValue="3.0779753761969908" maxValue="8.8655146506386266"/>
    </cacheField>
    <cacheField name="Transport Inflation" numFmtId="0">
      <sharedItems containsString="0" containsBlank="1" containsNumber="1" minValue="0.23809523809523581" maxValue="13.407407407407405"/>
    </cacheField>
    <cacheField name="Geneal Index" numFmtId="0">
      <sharedItems containsString="0" containsBlank="1" containsNumber="1" minValue="1.972242512783045" maxValue="7.7946768060836389"/>
    </cacheField>
  </cacheFields>
  <extLst>
    <ext xmlns:x14="http://schemas.microsoft.com/office/spreadsheetml/2009/9/main" uri="{725AE2AE-9491-48be-B2B4-4EB974FC3084}">
      <x14:pivotCacheDefinition pivotCacheId="173889277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496125231482" createdVersion="8" refreshedVersion="8" minRefreshableVersion="3" recordCount="5" xr:uid="{3C66B3B7-FAAF-4FD2-BE1B-8BCF9D8E65A7}">
  <cacheSource type="worksheet">
    <worksheetSource ref="A376:C381" sheet="Chart 4.1"/>
  </cacheSource>
  <cacheFields count="3">
    <cacheField name="Category" numFmtId="0">
      <sharedItems count="5">
        <s v="Food &amp; beverage"/>
        <s v="Household"/>
        <s v="Health"/>
        <s v="Transpport"/>
        <s v="General Index"/>
      </sharedItems>
    </cacheField>
    <cacheField name="Before COVID" numFmtId="2">
      <sharedItems containsSemiMixedTypes="0" containsString="0" containsNumber="1" minValue="3.7349607168137395" maxValue="6.2729034875792076"/>
    </cacheField>
    <cacheField name="After COVID" numFmtId="2">
      <sharedItems containsSemiMixedTypes="0" containsString="0" containsNumber="1" minValue="5.5969563103627511" maxValue="7.694716344742349"/>
    </cacheField>
  </cacheFields>
  <extLst>
    <ext xmlns:x14="http://schemas.microsoft.com/office/spreadsheetml/2009/9/main" uri="{725AE2AE-9491-48be-B2B4-4EB974FC3084}">
      <x14:pivotCacheDefinition pivotCacheId="18550415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62691712963" createdVersion="8" refreshedVersion="8" minRefreshableVersion="3" recordCount="315" xr:uid="{DCA2708C-E12B-43E2-AD74-E0D4712F665D}">
  <cacheSource type="worksheet">
    <worksheetSource ref="AS1:AT316" sheet="Chart 5"/>
  </cacheSource>
  <cacheFields count="2">
    <cacheField name="Category" numFmtId="0">
      <sharedItems containsBlank="1" count="11">
        <m/>
        <s v="Food &amp; Beverage"/>
        <s v="Clothing"/>
        <s v="Housing"/>
        <s v="Fuel and Light"/>
        <s v="Household"/>
        <s v="Healthcare"/>
        <s v="Transport"/>
        <s v="Education"/>
        <s v="Personal Care"/>
        <s v="General Index"/>
      </sharedItems>
    </cacheField>
    <cacheField name="Correl" numFmtId="0">
      <sharedItems containsString="0" containsBlank="1" containsNumber="1" minValue="-0.18782381563551392" maxValue="0.2968266311703102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201"/>
  </r>
  <r>
    <x v="1"/>
    <n v="15.6"/>
  </r>
  <r>
    <x v="2"/>
    <n v="182.8"/>
  </r>
  <r>
    <x v="3"/>
    <n v="175.2"/>
  </r>
  <r>
    <x v="4"/>
    <n v="185.7"/>
  </r>
  <r>
    <x v="5"/>
    <n v="164.8"/>
  </r>
  <r>
    <x v="6"/>
    <n v="171.2"/>
  </r>
  <r>
    <x v="7"/>
    <n v="177.1"/>
  </r>
  <r>
    <x v="8"/>
    <n v="185.2"/>
  </r>
  <r>
    <x v="9"/>
    <n v="175.7"/>
  </r>
  <r>
    <x v="10"/>
    <n v="179.1"/>
  </r>
  <r>
    <x v="11"/>
    <n v="2127.8000000000002"/>
  </r>
  <r>
    <x v="12"/>
    <n v="3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33.5794117647059"/>
    <n v="3.330830660023234"/>
  </r>
  <r>
    <x v="1"/>
    <n v="138.78529411764706"/>
    <n v="3.8972191029790477"/>
  </r>
  <r>
    <x v="2"/>
    <n v="144.42580645161286"/>
    <n v="4.0642002957347847"/>
  </r>
  <r>
    <x v="3"/>
    <n v="153.56428571428569"/>
    <n v="6.3274559354698887"/>
  </r>
  <r>
    <x v="4"/>
    <n v="161.66176470588235"/>
    <n v="5.2730222746338553"/>
  </r>
  <r>
    <x v="5"/>
    <n v="172.45000000000005"/>
    <n v="6.6733375784590505"/>
  </r>
  <r>
    <x v="6"/>
    <n v="177.76153846153844"/>
    <n v="3.080045498137656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173.3"/>
    <m/>
  </r>
  <r>
    <x v="1"/>
    <n v="174.9"/>
    <n v="0.92325447201384547"/>
  </r>
  <r>
    <x v="2"/>
    <n v="175"/>
    <n v="5.7175528873638831E-2"/>
  </r>
  <r>
    <x v="3"/>
    <n v="176.3"/>
    <n v="0.74285714285714932"/>
  </r>
  <r>
    <x v="4"/>
    <n v="177.8"/>
    <n v="0.85082246171298925"/>
  </r>
  <r>
    <x v="5"/>
    <n v="179.6"/>
    <n v="1.0123734533183255"/>
  </r>
  <r>
    <x v="6"/>
    <n v="178.3"/>
    <n v="-0.7238307349665829"/>
  </r>
  <r>
    <x v="7"/>
    <n v="175.9"/>
    <n v="-1.3460459899046582"/>
  </r>
  <r>
    <x v="8"/>
    <n v="176.7"/>
    <n v="0.45480386583284982"/>
  </r>
  <r>
    <x v="9"/>
    <n v="177"/>
    <n v="0.16977928692700134"/>
  </r>
  <r>
    <x v="10"/>
    <n v="177"/>
    <n v="0"/>
  </r>
  <r>
    <x v="11"/>
    <n v="177.9"/>
    <n v="0.50847457627118964"/>
  </r>
  <r>
    <x v="12"/>
    <n v="179.1"/>
    <n v="0.674536256323770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54.1"/>
    <n v="173.7"/>
    <n v="19.599999999999994"/>
  </r>
  <r>
    <x v="1"/>
    <n v="217"/>
    <n v="214.3"/>
    <n v="-2.6999999999999886"/>
  </r>
  <r>
    <x v="2"/>
    <n v="162.4"/>
    <n v="173.2"/>
    <n v="10.799999999999983"/>
  </r>
  <r>
    <x v="3"/>
    <n v="164.9"/>
    <n v="179.5"/>
    <n v="14.599999999999994"/>
  </r>
  <r>
    <x v="4"/>
    <n v="202.4"/>
    <n v="170"/>
    <n v="-32.400000000000006"/>
  </r>
  <r>
    <x v="5"/>
    <n v="171"/>
    <n v="172.2"/>
    <n v="1.1999999999999886"/>
  </r>
  <r>
    <x v="6"/>
    <n v="174.9"/>
    <n v="161"/>
    <n v="-13.900000000000006"/>
  </r>
  <r>
    <x v="7"/>
    <n v="164.7"/>
    <n v="175.6"/>
    <n v="10.900000000000006"/>
  </r>
  <r>
    <x v="8"/>
    <n v="119.7"/>
    <n v="122.7"/>
    <n v="3"/>
  </r>
  <r>
    <x v="9"/>
    <n v="184.9"/>
    <n v="218"/>
    <n v="33.099999999999994"/>
  </r>
  <r>
    <x v="10"/>
    <n v="167.1"/>
    <n v="173.4"/>
    <n v="6.3000000000000114"/>
  </r>
  <r>
    <x v="11"/>
    <n v="182.5"/>
    <n v="194.2"/>
    <n v="11.69999999999998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n v="107.5"/>
    <n v="106.3"/>
    <n v="108.1"/>
    <n v="104.9"/>
    <n v="106.1"/>
    <n v="103.9"/>
    <n v="101.9"/>
    <n v="106.1"/>
    <n v="106.8"/>
    <n v="103.1"/>
    <n v="104.8"/>
    <n v="106.7"/>
    <m/>
    <n v="105.5"/>
    <n v="105.1"/>
    <n v="106.5"/>
    <n v="105.8"/>
    <n v="106.4"/>
    <s v="NA"/>
    <n v="105.5"/>
    <n v="104.8"/>
    <n v="104"/>
    <n v="103.3"/>
    <n v="103.4"/>
    <n v="103.8"/>
    <n v="104.7"/>
    <n v="104"/>
    <n v="105.1"/>
    <x v="0"/>
    <m/>
    <m/>
    <m/>
    <m/>
  </r>
  <r>
    <s v="Urban"/>
    <x v="0"/>
    <x v="0"/>
    <n v="110.5"/>
    <n v="109.1"/>
    <n v="113"/>
    <n v="103.6"/>
    <n v="103.4"/>
    <n v="102.3"/>
    <n v="102.9"/>
    <n v="105.8"/>
    <n v="105.1"/>
    <n v="101.8"/>
    <n v="105.1"/>
    <n v="107.9"/>
    <m/>
    <n v="105.9"/>
    <n v="105.2"/>
    <n v="105.9"/>
    <n v="105"/>
    <n v="105.8"/>
    <n v="100.3"/>
    <n v="105.4"/>
    <n v="104.8"/>
    <n v="104.1"/>
    <n v="103.2"/>
    <n v="102.9"/>
    <n v="103.5"/>
    <n v="104.3"/>
    <n v="103.7"/>
    <n v="104"/>
    <x v="0"/>
    <m/>
    <m/>
    <m/>
    <m/>
  </r>
  <r>
    <s v="Rural+Urban"/>
    <x v="0"/>
    <x v="0"/>
    <n v="108.4"/>
    <n v="107.3"/>
    <n v="110"/>
    <n v="104.4"/>
    <n v="105.1"/>
    <n v="103.2"/>
    <n v="102.2"/>
    <n v="106"/>
    <n v="106.2"/>
    <n v="102.7"/>
    <n v="104.9"/>
    <n v="107.3"/>
    <m/>
    <n v="105.6"/>
    <n v="105.1"/>
    <n v="106.3"/>
    <n v="105.5"/>
    <n v="106.2"/>
    <n v="100.3"/>
    <n v="105.5"/>
    <n v="104.8"/>
    <n v="104"/>
    <n v="103.2"/>
    <n v="103.1"/>
    <n v="103.6"/>
    <n v="104.5"/>
    <n v="103.9"/>
    <n v="104.6"/>
    <x v="0"/>
    <m/>
    <m/>
    <m/>
    <m/>
  </r>
  <r>
    <s v="Rural"/>
    <x v="0"/>
    <x v="1"/>
    <n v="109.2"/>
    <n v="108.7"/>
    <n v="110.2"/>
    <n v="105.4"/>
    <n v="106.7"/>
    <n v="104"/>
    <n v="102.4"/>
    <n v="105.9"/>
    <n v="105.7"/>
    <n v="103.1"/>
    <n v="105.1"/>
    <n v="107.7"/>
    <m/>
    <n v="106.3"/>
    <n v="105.6"/>
    <n v="107.1"/>
    <n v="106.3"/>
    <n v="107"/>
    <s v="NA"/>
    <n v="106.2"/>
    <n v="105.2"/>
    <n v="104.4"/>
    <n v="103.9"/>
    <n v="104"/>
    <n v="104.1"/>
    <n v="104.6"/>
    <n v="104.4"/>
    <n v="105.8"/>
    <x v="0"/>
    <m/>
    <m/>
    <m/>
    <m/>
  </r>
  <r>
    <s v="Urban"/>
    <x v="0"/>
    <x v="1"/>
    <n v="112.9"/>
    <n v="112.9"/>
    <n v="116.9"/>
    <n v="104"/>
    <n v="103.5"/>
    <n v="103.1"/>
    <n v="104.9"/>
    <n v="104.1"/>
    <n v="103.8"/>
    <n v="102.3"/>
    <n v="106"/>
    <n v="109"/>
    <m/>
    <n v="107.2"/>
    <n v="106"/>
    <n v="106.6"/>
    <n v="105.5"/>
    <n v="106.4"/>
    <n v="100.4"/>
    <n v="105.7"/>
    <n v="105.2"/>
    <n v="104.7"/>
    <n v="104.4"/>
    <n v="103.3"/>
    <n v="103.7"/>
    <n v="104.3"/>
    <n v="104.3"/>
    <n v="104.7"/>
    <x v="0"/>
    <m/>
    <m/>
    <m/>
    <m/>
  </r>
  <r>
    <s v="Rural+Urban"/>
    <x v="0"/>
    <x v="1"/>
    <n v="110.4"/>
    <n v="110.2"/>
    <n v="112.8"/>
    <n v="104.9"/>
    <n v="105.5"/>
    <n v="103.6"/>
    <n v="103.2"/>
    <n v="105.3"/>
    <n v="105.1"/>
    <n v="102.8"/>
    <n v="105.5"/>
    <n v="108.3"/>
    <m/>
    <n v="106.6"/>
    <n v="105.7"/>
    <n v="106.9"/>
    <n v="106"/>
    <n v="106.8"/>
    <n v="100.4"/>
    <n v="106"/>
    <n v="105.2"/>
    <n v="104.5"/>
    <n v="104.2"/>
    <n v="103.6"/>
    <n v="103.9"/>
    <n v="104.5"/>
    <n v="104.4"/>
    <n v="105.3"/>
    <x v="0"/>
    <m/>
    <m/>
    <m/>
    <m/>
  </r>
  <r>
    <s v="Rural"/>
    <x v="0"/>
    <x v="2"/>
    <n v="110.2"/>
    <n v="108.8"/>
    <n v="109.9"/>
    <n v="105.6"/>
    <n v="106.2"/>
    <n v="105.7"/>
    <n v="101.4"/>
    <n v="105.7"/>
    <n v="105"/>
    <n v="103.3"/>
    <n v="105.6"/>
    <n v="108.2"/>
    <m/>
    <n v="106.6"/>
    <n v="106.5"/>
    <n v="107.6"/>
    <n v="106.8"/>
    <n v="107.5"/>
    <s v="NA"/>
    <n v="106.1"/>
    <n v="105.6"/>
    <n v="104.7"/>
    <n v="104.6"/>
    <n v="104"/>
    <n v="104.3"/>
    <n v="104.3"/>
    <n v="104.6"/>
    <n v="106"/>
    <x v="0"/>
    <m/>
    <m/>
    <m/>
    <m/>
  </r>
  <r>
    <s v="Urban"/>
    <x v="0"/>
    <x v="2"/>
    <n v="113.9"/>
    <n v="111.4"/>
    <n v="113.2"/>
    <n v="104.3"/>
    <n v="102.7"/>
    <n v="104.9"/>
    <n v="103.8"/>
    <n v="103.5"/>
    <n v="102.6"/>
    <n v="102.4"/>
    <n v="107"/>
    <n v="109.8"/>
    <m/>
    <n v="107.3"/>
    <n v="106.8"/>
    <n v="107.2"/>
    <n v="106"/>
    <n v="107"/>
    <n v="100.4"/>
    <n v="106"/>
    <n v="105.7"/>
    <n v="105.2"/>
    <n v="105.5"/>
    <n v="103.5"/>
    <n v="103.8"/>
    <n v="104.2"/>
    <n v="104.9"/>
    <n v="105"/>
    <x v="0"/>
    <m/>
    <m/>
    <m/>
    <m/>
  </r>
  <r>
    <s v="Rural+Urban"/>
    <x v="0"/>
    <x v="2"/>
    <n v="111.4"/>
    <n v="109.7"/>
    <n v="111.2"/>
    <n v="105.1"/>
    <n v="104.9"/>
    <n v="105.3"/>
    <n v="102.2"/>
    <n v="105"/>
    <n v="104.2"/>
    <n v="103"/>
    <n v="106.2"/>
    <n v="108.9"/>
    <m/>
    <n v="106.9"/>
    <n v="106.6"/>
    <n v="107.4"/>
    <n v="106.5"/>
    <n v="107.3"/>
    <n v="100.4"/>
    <n v="106.1"/>
    <n v="105.6"/>
    <n v="104.9"/>
    <n v="105.1"/>
    <n v="103.7"/>
    <n v="104"/>
    <n v="104.3"/>
    <n v="104.7"/>
    <n v="105.5"/>
    <x v="0"/>
    <m/>
    <m/>
    <m/>
    <m/>
  </r>
  <r>
    <s v="Rural"/>
    <x v="0"/>
    <x v="3"/>
    <n v="110.2"/>
    <n v="109.5"/>
    <n v="106.9"/>
    <n v="106.3"/>
    <n v="105.7"/>
    <n v="108.3"/>
    <n v="103.4"/>
    <n v="105.7"/>
    <n v="104.2"/>
    <n v="103.2"/>
    <n v="106.5"/>
    <n v="108.8"/>
    <m/>
    <n v="107.1"/>
    <n v="107.1"/>
    <n v="108.1"/>
    <n v="107.4"/>
    <n v="108"/>
    <s v="NA"/>
    <n v="106.5"/>
    <n v="106.1"/>
    <n v="105.1"/>
    <n v="104.4"/>
    <n v="104.5"/>
    <n v="104.8"/>
    <n v="102.7"/>
    <n v="104.6"/>
    <n v="106.4"/>
    <x v="0"/>
    <m/>
    <m/>
    <m/>
    <m/>
  </r>
  <r>
    <s v="Urban"/>
    <x v="0"/>
    <x v="3"/>
    <n v="114.6"/>
    <n v="113.4"/>
    <n v="106"/>
    <n v="104.7"/>
    <n v="102.1"/>
    <n v="109.5"/>
    <n v="109.7"/>
    <n v="104.6"/>
    <n v="102"/>
    <n v="103.5"/>
    <n v="108.2"/>
    <n v="110.6"/>
    <m/>
    <n v="108.8"/>
    <n v="108.5"/>
    <n v="107.9"/>
    <n v="106.4"/>
    <n v="107.7"/>
    <n v="100.5"/>
    <n v="106.4"/>
    <n v="106.5"/>
    <n v="105.7"/>
    <n v="105"/>
    <n v="104"/>
    <n v="105.2"/>
    <n v="103.2"/>
    <n v="105.1"/>
    <n v="105.7"/>
    <x v="0"/>
    <m/>
    <m/>
    <m/>
    <m/>
  </r>
  <r>
    <s v="Rural+Urban"/>
    <x v="0"/>
    <x v="3"/>
    <n v="111.6"/>
    <n v="110.9"/>
    <n v="106.6"/>
    <n v="105.7"/>
    <n v="104.4"/>
    <n v="108.9"/>
    <n v="105.5"/>
    <n v="105.3"/>
    <n v="103.5"/>
    <n v="103.3"/>
    <n v="107.2"/>
    <n v="109.6"/>
    <m/>
    <n v="107.7"/>
    <n v="107.5"/>
    <n v="108"/>
    <n v="107"/>
    <n v="107.9"/>
    <n v="100.5"/>
    <n v="106.5"/>
    <n v="106.3"/>
    <n v="105.3"/>
    <n v="104.7"/>
    <n v="104.2"/>
    <n v="105"/>
    <n v="102.9"/>
    <n v="104.8"/>
    <n v="106.1"/>
    <x v="0"/>
    <m/>
    <m/>
    <m/>
    <m/>
  </r>
  <r>
    <s v="Rural"/>
    <x v="0"/>
    <x v="4"/>
    <n v="110.9"/>
    <n v="109.8"/>
    <n v="105.9"/>
    <n v="107.5"/>
    <n v="105.3"/>
    <n v="108.1"/>
    <n v="107.3"/>
    <n v="106.1"/>
    <n v="103.7"/>
    <n v="104"/>
    <n v="107.4"/>
    <n v="109.9"/>
    <m/>
    <n v="108.1"/>
    <n v="108.1"/>
    <n v="108.8"/>
    <n v="107.9"/>
    <n v="108.6"/>
    <s v="NA"/>
    <n v="107.5"/>
    <n v="106.8"/>
    <n v="105.7"/>
    <n v="104.1"/>
    <n v="105"/>
    <n v="105.5"/>
    <n v="102.1"/>
    <n v="104.8"/>
    <n v="107.2"/>
    <x v="0"/>
    <m/>
    <m/>
    <m/>
    <m/>
  </r>
  <r>
    <s v="Urban"/>
    <x v="0"/>
    <x v="4"/>
    <n v="115.4"/>
    <n v="114.2"/>
    <n v="102.7"/>
    <n v="105.5"/>
    <n v="101.5"/>
    <n v="110.6"/>
    <n v="123.7"/>
    <n v="105.2"/>
    <n v="101.9"/>
    <n v="105"/>
    <n v="109.1"/>
    <n v="111.3"/>
    <m/>
    <n v="111.1"/>
    <n v="109.8"/>
    <n v="108.5"/>
    <n v="106.7"/>
    <n v="108.3"/>
    <n v="100.5"/>
    <n v="107.2"/>
    <n v="107.1"/>
    <n v="106.2"/>
    <n v="103.9"/>
    <n v="104.6"/>
    <n v="105.7"/>
    <n v="102.6"/>
    <n v="104.9"/>
    <n v="106.6"/>
    <x v="0"/>
    <m/>
    <m/>
    <m/>
    <m/>
  </r>
  <r>
    <s v="Rural+Urban"/>
    <x v="0"/>
    <x v="4"/>
    <n v="112.3"/>
    <n v="111.3"/>
    <n v="104.7"/>
    <n v="106.8"/>
    <n v="103.9"/>
    <n v="109.3"/>
    <n v="112.9"/>
    <n v="105.8"/>
    <n v="103.1"/>
    <n v="104.3"/>
    <n v="108.1"/>
    <n v="110.5"/>
    <m/>
    <n v="109.2"/>
    <n v="108.6"/>
    <n v="108.7"/>
    <n v="107.4"/>
    <n v="108.5"/>
    <n v="100.5"/>
    <n v="107.4"/>
    <n v="106.9"/>
    <n v="105.9"/>
    <n v="104"/>
    <n v="104.8"/>
    <n v="105.6"/>
    <n v="102.3"/>
    <n v="104.8"/>
    <n v="106.9"/>
    <x v="0"/>
    <m/>
    <m/>
    <m/>
    <m/>
  </r>
  <r>
    <s v="Rural"/>
    <x v="0"/>
    <x v="5"/>
    <n v="112.3"/>
    <n v="112.1"/>
    <n v="108.1"/>
    <n v="108.3"/>
    <n v="105.9"/>
    <n v="109.2"/>
    <n v="118"/>
    <n v="106.8"/>
    <n v="104.1"/>
    <n v="105.4"/>
    <n v="108.2"/>
    <n v="111"/>
    <m/>
    <n v="110.6"/>
    <n v="109"/>
    <n v="109.7"/>
    <n v="108.8"/>
    <n v="109.5"/>
    <s v="NA"/>
    <n v="108.5"/>
    <n v="107.5"/>
    <n v="106.3"/>
    <n v="105"/>
    <n v="105.6"/>
    <n v="106.5"/>
    <n v="102.5"/>
    <n v="105.5"/>
    <n v="108.9"/>
    <x v="0"/>
    <m/>
    <m/>
    <m/>
    <m/>
  </r>
  <r>
    <s v="Urban"/>
    <x v="0"/>
    <x v="5"/>
    <n v="117"/>
    <n v="120.1"/>
    <n v="112.5"/>
    <n v="107.3"/>
    <n v="101.3"/>
    <n v="112.4"/>
    <n v="143.6"/>
    <n v="105.4"/>
    <n v="101.4"/>
    <n v="106.4"/>
    <n v="110"/>
    <n v="112.2"/>
    <m/>
    <n v="115"/>
    <n v="110.9"/>
    <n v="109.2"/>
    <n v="107.2"/>
    <n v="108.9"/>
    <n v="106.6"/>
    <n v="108"/>
    <n v="107.7"/>
    <n v="106.5"/>
    <n v="105.2"/>
    <n v="105.2"/>
    <n v="108.1"/>
    <n v="103.3"/>
    <n v="106.1"/>
    <n v="109.7"/>
    <x v="0"/>
    <m/>
    <m/>
    <m/>
    <m/>
  </r>
  <r>
    <s v="Rural+Urban"/>
    <x v="0"/>
    <x v="5"/>
    <n v="113.8"/>
    <n v="114.9"/>
    <n v="109.8"/>
    <n v="107.9"/>
    <n v="104.2"/>
    <n v="110.7"/>
    <n v="126.7"/>
    <n v="106.3"/>
    <n v="103.2"/>
    <n v="105.7"/>
    <n v="109"/>
    <n v="111.6"/>
    <m/>
    <n v="112.2"/>
    <n v="109.5"/>
    <n v="109.5"/>
    <n v="108.1"/>
    <n v="109.3"/>
    <n v="106.6"/>
    <n v="108.3"/>
    <n v="107.6"/>
    <n v="106.4"/>
    <n v="105.1"/>
    <n v="105.4"/>
    <n v="107.4"/>
    <n v="102.8"/>
    <n v="105.8"/>
    <n v="109.3"/>
    <x v="0"/>
    <m/>
    <m/>
    <m/>
    <m/>
  </r>
  <r>
    <s v="Rural"/>
    <x v="0"/>
    <x v="6"/>
    <n v="113.4"/>
    <n v="114.9"/>
    <n v="110.5"/>
    <n v="109.3"/>
    <n v="106.2"/>
    <n v="110.3"/>
    <n v="129.19999999999999"/>
    <n v="107.1"/>
    <n v="104.3"/>
    <n v="106.4"/>
    <n v="109.1"/>
    <n v="112.1"/>
    <m/>
    <n v="113.1"/>
    <n v="109.8"/>
    <n v="110.5"/>
    <n v="109.5"/>
    <n v="110.3"/>
    <s v="NA"/>
    <n v="109.5"/>
    <n v="108.3"/>
    <n v="106.9"/>
    <n v="106.8"/>
    <n v="106.4"/>
    <n v="107.8"/>
    <n v="102.5"/>
    <n v="106.5"/>
    <n v="110.7"/>
    <x v="0"/>
    <m/>
    <m/>
    <m/>
    <m/>
  </r>
  <r>
    <s v="Urban"/>
    <x v="0"/>
    <x v="6"/>
    <n v="117.8"/>
    <n v="119.2"/>
    <n v="114"/>
    <n v="108.3"/>
    <n v="101.1"/>
    <n v="113.2"/>
    <n v="160.9"/>
    <n v="105.1"/>
    <n v="101.3"/>
    <n v="107.5"/>
    <n v="110.4"/>
    <n v="113.1"/>
    <m/>
    <n v="117.5"/>
    <n v="111.7"/>
    <n v="109.8"/>
    <n v="107.8"/>
    <n v="109.5"/>
    <n v="107.7"/>
    <n v="108.6"/>
    <n v="108.1"/>
    <n v="107.1"/>
    <n v="107.3"/>
    <n v="105.9"/>
    <n v="110.1"/>
    <n v="103.2"/>
    <n v="107.3"/>
    <n v="111.4"/>
    <x v="0"/>
    <m/>
    <m/>
    <m/>
    <m/>
  </r>
  <r>
    <s v="Rural+Urban"/>
    <x v="0"/>
    <x v="6"/>
    <n v="114.8"/>
    <n v="116.4"/>
    <n v="111.9"/>
    <n v="108.9"/>
    <n v="104.3"/>
    <n v="111.7"/>
    <n v="140"/>
    <n v="106.4"/>
    <n v="103.3"/>
    <n v="106.8"/>
    <n v="109.6"/>
    <n v="112.6"/>
    <m/>
    <n v="114.7"/>
    <n v="110.3"/>
    <n v="110.2"/>
    <n v="108.8"/>
    <n v="110"/>
    <n v="107.7"/>
    <n v="109.2"/>
    <n v="108.2"/>
    <n v="107"/>
    <n v="107.1"/>
    <n v="106.1"/>
    <n v="109.1"/>
    <n v="102.8"/>
    <n v="106.9"/>
    <n v="111"/>
    <x v="0"/>
    <m/>
    <m/>
    <m/>
    <m/>
  </r>
  <r>
    <s v="Rural"/>
    <x v="0"/>
    <x v="7"/>
    <n v="114.3"/>
    <n v="115.4"/>
    <n v="111.1"/>
    <n v="110"/>
    <n v="106.4"/>
    <n v="110.8"/>
    <n v="138.9"/>
    <n v="107.4"/>
    <n v="104.1"/>
    <n v="106.9"/>
    <n v="109.7"/>
    <n v="112.6"/>
    <m/>
    <n v="114.9"/>
    <n v="110.7"/>
    <n v="111.3"/>
    <n v="110.2"/>
    <n v="111.1"/>
    <s v="NA"/>
    <n v="109.9"/>
    <n v="108.7"/>
    <n v="107.5"/>
    <n v="107.8"/>
    <n v="106.8"/>
    <n v="108.7"/>
    <n v="105"/>
    <n v="107.5"/>
    <n v="112.1"/>
    <x v="0"/>
    <m/>
    <m/>
    <m/>
    <m/>
  </r>
  <r>
    <s v="Urban"/>
    <x v="0"/>
    <x v="7"/>
    <n v="118.3"/>
    <n v="120.4"/>
    <n v="112.7"/>
    <n v="108.9"/>
    <n v="101.1"/>
    <n v="108.7"/>
    <n v="177"/>
    <n v="104.7"/>
    <n v="101"/>
    <n v="108.5"/>
    <n v="110.9"/>
    <n v="114.3"/>
    <m/>
    <n v="119.6"/>
    <n v="112.4"/>
    <n v="110.6"/>
    <n v="108.3"/>
    <n v="110.2"/>
    <n v="108.9"/>
    <n v="109.3"/>
    <n v="108.7"/>
    <n v="107.6"/>
    <n v="108.1"/>
    <n v="106.5"/>
    <n v="110.8"/>
    <n v="106"/>
    <n v="108.3"/>
    <n v="112.7"/>
    <x v="0"/>
    <m/>
    <m/>
    <m/>
    <m/>
  </r>
  <r>
    <s v="Rural+Urban"/>
    <x v="0"/>
    <x v="7"/>
    <n v="115.6"/>
    <n v="117.2"/>
    <n v="111.7"/>
    <n v="109.6"/>
    <n v="104.5"/>
    <n v="109.8"/>
    <n v="151.80000000000001"/>
    <n v="106.5"/>
    <n v="103.1"/>
    <n v="107.4"/>
    <n v="110.2"/>
    <n v="113.4"/>
    <m/>
    <n v="116.6"/>
    <n v="111.2"/>
    <n v="111"/>
    <n v="109.4"/>
    <n v="110.7"/>
    <n v="108.9"/>
    <n v="109.7"/>
    <n v="108.7"/>
    <n v="107.5"/>
    <n v="108"/>
    <n v="106.6"/>
    <n v="109.9"/>
    <n v="105.4"/>
    <n v="107.9"/>
    <n v="112.4"/>
    <x v="0"/>
    <m/>
    <m/>
    <m/>
    <m/>
  </r>
  <r>
    <s v="Rural"/>
    <x v="0"/>
    <x v="8"/>
    <n v="115.4"/>
    <n v="115.7"/>
    <n v="111.7"/>
    <n v="111"/>
    <n v="107.4"/>
    <n v="110.9"/>
    <n v="154"/>
    <n v="108.1"/>
    <n v="104.2"/>
    <n v="107.9"/>
    <n v="110.4"/>
    <n v="114"/>
    <m/>
    <n v="117.8"/>
    <n v="111.7"/>
    <n v="112.7"/>
    <n v="111.4"/>
    <n v="112.5"/>
    <s v="NA"/>
    <n v="111.1"/>
    <n v="109.6"/>
    <n v="108.3"/>
    <n v="109.3"/>
    <n v="107.7"/>
    <n v="109.8"/>
    <n v="106.7"/>
    <n v="108.7"/>
    <n v="114.2"/>
    <x v="0"/>
    <m/>
    <m/>
    <m/>
    <m/>
  </r>
  <r>
    <s v="Urban"/>
    <x v="0"/>
    <x v="8"/>
    <n v="118.6"/>
    <n v="119.1"/>
    <n v="113.2"/>
    <n v="109.6"/>
    <n v="101.7"/>
    <n v="103.2"/>
    <n v="174.3"/>
    <n v="105.1"/>
    <n v="100.8"/>
    <n v="109.1"/>
    <n v="111.1"/>
    <n v="115.4"/>
    <m/>
    <n v="119.2"/>
    <n v="112.9"/>
    <n v="111.4"/>
    <n v="109"/>
    <n v="111.1"/>
    <n v="109.7"/>
    <n v="109.5"/>
    <n v="109.6"/>
    <n v="107.9"/>
    <n v="110.4"/>
    <n v="107.4"/>
    <n v="111.2"/>
    <n v="106.9"/>
    <n v="109.4"/>
    <n v="113.2"/>
    <x v="0"/>
    <m/>
    <m/>
    <m/>
    <m/>
  </r>
  <r>
    <s v="Rural+Urban"/>
    <x v="0"/>
    <x v="8"/>
    <n v="116.4"/>
    <n v="116.9"/>
    <n v="112.3"/>
    <n v="110.5"/>
    <n v="105.3"/>
    <n v="107.3"/>
    <n v="160.9"/>
    <n v="107.1"/>
    <n v="103.1"/>
    <n v="108.3"/>
    <n v="110.7"/>
    <n v="114.6"/>
    <m/>
    <n v="118.3"/>
    <n v="112"/>
    <n v="112.2"/>
    <n v="110.4"/>
    <n v="111.9"/>
    <n v="109.7"/>
    <n v="110.5"/>
    <n v="109.6"/>
    <n v="108.1"/>
    <n v="109.9"/>
    <n v="107.5"/>
    <n v="110.6"/>
    <n v="106.8"/>
    <n v="109"/>
    <n v="113.7"/>
    <x v="0"/>
    <m/>
    <m/>
    <m/>
    <m/>
  </r>
  <r>
    <s v="Rural"/>
    <x v="0"/>
    <x v="9"/>
    <n v="116.3"/>
    <n v="115.4"/>
    <n v="112.6"/>
    <n v="111.7"/>
    <n v="107.7"/>
    <n v="113.2"/>
    <n v="164.9"/>
    <n v="108.3"/>
    <n v="103.9"/>
    <n v="108.2"/>
    <n v="111.1"/>
    <n v="114.9"/>
    <m/>
    <n v="119.8"/>
    <n v="112.2"/>
    <n v="113.6"/>
    <n v="112.3"/>
    <n v="113.4"/>
    <s v="NA"/>
    <n v="111.6"/>
    <n v="110.4"/>
    <n v="108.9"/>
    <n v="109.3"/>
    <n v="108.3"/>
    <n v="110.2"/>
    <n v="107.5"/>
    <n v="109.1"/>
    <n v="115.5"/>
    <x v="0"/>
    <m/>
    <m/>
    <m/>
    <m/>
  </r>
  <r>
    <s v="Urban"/>
    <x v="0"/>
    <x v="9"/>
    <n v="118.9"/>
    <n v="118.1"/>
    <n v="114.5"/>
    <n v="110.4"/>
    <n v="102.3"/>
    <n v="106.2"/>
    <n v="183.5"/>
    <n v="105.3"/>
    <n v="100.2"/>
    <n v="109.6"/>
    <n v="111.4"/>
    <n v="116"/>
    <m/>
    <n v="120.8"/>
    <n v="113.5"/>
    <n v="112.5"/>
    <n v="109.7"/>
    <n v="112"/>
    <n v="110.5"/>
    <n v="109.7"/>
    <n v="110.2"/>
    <n v="108.2"/>
    <n v="109.7"/>
    <n v="108"/>
    <n v="111.3"/>
    <n v="107.3"/>
    <n v="109.4"/>
    <n v="114"/>
    <x v="0"/>
    <m/>
    <m/>
    <m/>
    <m/>
  </r>
  <r>
    <s v="Rural+Urban"/>
    <x v="0"/>
    <x v="9"/>
    <n v="117.1"/>
    <n v="116.3"/>
    <n v="113.3"/>
    <n v="111.2"/>
    <n v="105.7"/>
    <n v="109.9"/>
    <n v="171.2"/>
    <n v="107.3"/>
    <n v="102.7"/>
    <n v="108.7"/>
    <n v="111.2"/>
    <n v="115.4"/>
    <m/>
    <n v="120.2"/>
    <n v="112.5"/>
    <n v="113.2"/>
    <n v="111.2"/>
    <n v="112.8"/>
    <n v="110.5"/>
    <n v="110.9"/>
    <n v="110.3"/>
    <n v="108.6"/>
    <n v="109.5"/>
    <n v="108.1"/>
    <n v="110.8"/>
    <n v="107.4"/>
    <n v="109.2"/>
    <n v="114.8"/>
    <x v="0"/>
    <m/>
    <m/>
    <m/>
    <m/>
  </r>
  <r>
    <s v="Rural"/>
    <x v="0"/>
    <x v="10"/>
    <n v="117.3"/>
    <n v="114.9"/>
    <n v="116.2"/>
    <n v="112.8"/>
    <n v="108.9"/>
    <n v="116.6"/>
    <n v="178.1"/>
    <n v="109.1"/>
    <n v="103.6"/>
    <n v="109"/>
    <n v="111.8"/>
    <n v="116"/>
    <m/>
    <n v="122.5"/>
    <n v="112.8"/>
    <n v="114.6"/>
    <n v="113.1"/>
    <n v="114.4"/>
    <s v="NA"/>
    <n v="112.6"/>
    <n v="111.3"/>
    <n v="109.7"/>
    <n v="109.6"/>
    <n v="108.7"/>
    <n v="111"/>
    <n v="108.2"/>
    <n v="109.8"/>
    <n v="117.4"/>
    <x v="0"/>
    <m/>
    <m/>
    <m/>
    <m/>
  </r>
  <r>
    <s v="Urban"/>
    <x v="0"/>
    <x v="11"/>
    <n v="119.8"/>
    <n v="116.3"/>
    <n v="122.6"/>
    <n v="112"/>
    <n v="103.2"/>
    <n v="110"/>
    <n v="192.8"/>
    <n v="106.3"/>
    <n v="99.5"/>
    <n v="110.3"/>
    <n v="111.8"/>
    <n v="117.1"/>
    <m/>
    <n v="122.9"/>
    <n v="114.1"/>
    <n v="113.5"/>
    <n v="110.3"/>
    <n v="113"/>
    <n v="111.1"/>
    <n v="110"/>
    <n v="110.9"/>
    <n v="108.6"/>
    <n v="109.5"/>
    <n v="108.5"/>
    <n v="111.3"/>
    <n v="107.9"/>
    <n v="109.6"/>
    <n v="115"/>
    <x v="0"/>
    <m/>
    <m/>
    <m/>
    <m/>
  </r>
  <r>
    <s v="Rural+Urban"/>
    <x v="0"/>
    <x v="11"/>
    <n v="118.1"/>
    <n v="115.4"/>
    <n v="118.7"/>
    <n v="112.5"/>
    <n v="106.8"/>
    <n v="113.5"/>
    <n v="183.1"/>
    <n v="108.2"/>
    <n v="102.2"/>
    <n v="109.4"/>
    <n v="111.8"/>
    <n v="116.5"/>
    <m/>
    <n v="122.6"/>
    <n v="113.1"/>
    <n v="114.2"/>
    <n v="111.9"/>
    <n v="113.8"/>
    <n v="111.1"/>
    <n v="111.6"/>
    <n v="111.1"/>
    <n v="109.3"/>
    <n v="109.5"/>
    <n v="108.6"/>
    <n v="111.2"/>
    <n v="108.1"/>
    <n v="109.7"/>
    <n v="116.3"/>
    <x v="0"/>
    <m/>
    <m/>
    <m/>
    <m/>
  </r>
  <r>
    <s v="Rural"/>
    <x v="0"/>
    <x v="12"/>
    <n v="118.4"/>
    <n v="115.9"/>
    <n v="120.4"/>
    <n v="113.8"/>
    <n v="109.5"/>
    <n v="115.5"/>
    <n v="145.69999999999999"/>
    <n v="109.5"/>
    <n v="102.9"/>
    <n v="109.8"/>
    <n v="112.1"/>
    <n v="116.8"/>
    <m/>
    <n v="118.7"/>
    <n v="113.6"/>
    <n v="115.8"/>
    <n v="114"/>
    <n v="115.5"/>
    <s v="NA"/>
    <n v="112.8"/>
    <n v="112.1"/>
    <n v="110.1"/>
    <n v="109.9"/>
    <n v="109.2"/>
    <n v="111.6"/>
    <n v="108.1"/>
    <n v="110.1"/>
    <n v="115.5"/>
    <x v="0"/>
    <m/>
    <m/>
    <m/>
    <m/>
  </r>
  <r>
    <s v="Urban"/>
    <x v="0"/>
    <x v="12"/>
    <n v="120.5"/>
    <n v="118.1"/>
    <n v="128.5"/>
    <n v="112.8"/>
    <n v="103.4"/>
    <n v="110.7"/>
    <n v="144.80000000000001"/>
    <n v="107.1"/>
    <n v="98.6"/>
    <n v="111.9"/>
    <n v="112.1"/>
    <n v="118.1"/>
    <m/>
    <n v="117.8"/>
    <n v="115"/>
    <n v="114.2"/>
    <n v="110.9"/>
    <n v="113.7"/>
    <n v="110.7"/>
    <n v="110.4"/>
    <n v="111.3"/>
    <n v="109"/>
    <n v="109.7"/>
    <n v="108.9"/>
    <n v="111.4"/>
    <n v="107.7"/>
    <n v="109.8"/>
    <n v="113.3"/>
    <x v="0"/>
    <m/>
    <m/>
    <m/>
    <m/>
  </r>
  <r>
    <s v="Rural+Urban"/>
    <x v="0"/>
    <x v="12"/>
    <n v="119.1"/>
    <n v="116.7"/>
    <n v="123.5"/>
    <n v="113.4"/>
    <n v="107.3"/>
    <n v="113.3"/>
    <n v="145.4"/>
    <n v="108.7"/>
    <n v="101.5"/>
    <n v="110.5"/>
    <n v="112.1"/>
    <n v="117.4"/>
    <m/>
    <n v="118.4"/>
    <n v="114"/>
    <n v="115.2"/>
    <n v="112.7"/>
    <n v="114.8"/>
    <n v="110.7"/>
    <n v="111.9"/>
    <n v="111.7"/>
    <n v="109.7"/>
    <n v="109.8"/>
    <n v="109"/>
    <n v="111.5"/>
    <n v="107.9"/>
    <n v="110"/>
    <n v="114.5"/>
    <x v="0"/>
    <m/>
    <m/>
    <m/>
    <m/>
  </r>
  <r>
    <s v="Rural"/>
    <x v="1"/>
    <x v="0"/>
    <n v="118.9"/>
    <n v="117.1"/>
    <n v="120.5"/>
    <n v="114.4"/>
    <n v="109"/>
    <n v="115.5"/>
    <n v="123.9"/>
    <n v="109.6"/>
    <n v="101.8"/>
    <n v="110.2"/>
    <n v="112.4"/>
    <n v="117.3"/>
    <m/>
    <n v="116"/>
    <n v="114"/>
    <n v="116.5"/>
    <n v="114.5"/>
    <n v="116.2"/>
    <s v="NA"/>
    <n v="113"/>
    <n v="112.6"/>
    <n v="110.6"/>
    <n v="110.5"/>
    <n v="109.6"/>
    <n v="111.8"/>
    <n v="108.3"/>
    <n v="110.6"/>
    <n v="114.2"/>
    <x v="0"/>
    <m/>
    <m/>
    <m/>
    <m/>
  </r>
  <r>
    <s v="Urban"/>
    <x v="1"/>
    <x v="0"/>
    <n v="121.2"/>
    <n v="122"/>
    <n v="129.9"/>
    <n v="113.6"/>
    <n v="102.9"/>
    <n v="112.1"/>
    <n v="118.9"/>
    <n v="107.5"/>
    <n v="96.9"/>
    <n v="112.7"/>
    <n v="112.1"/>
    <n v="119"/>
    <m/>
    <n v="115.5"/>
    <n v="115.7"/>
    <n v="114.8"/>
    <n v="111.3"/>
    <n v="114.3"/>
    <n v="111.6"/>
    <n v="111"/>
    <n v="111.9"/>
    <n v="109.7"/>
    <n v="110.8"/>
    <n v="109.8"/>
    <n v="111.5"/>
    <n v="108"/>
    <n v="110.5"/>
    <n v="112.9"/>
    <x v="0"/>
    <m/>
    <m/>
    <m/>
    <m/>
  </r>
  <r>
    <s v="Rural+Urban"/>
    <x v="1"/>
    <x v="0"/>
    <n v="119.6"/>
    <n v="118.8"/>
    <n v="124.1"/>
    <n v="114.1"/>
    <n v="106.8"/>
    <n v="113.9"/>
    <n v="122.2"/>
    <n v="108.9"/>
    <n v="100.2"/>
    <n v="111"/>
    <n v="112.3"/>
    <n v="118.1"/>
    <m/>
    <n v="115.8"/>
    <n v="114.5"/>
    <n v="115.8"/>
    <n v="113.2"/>
    <n v="115.4"/>
    <n v="111.6"/>
    <n v="112.2"/>
    <n v="112.3"/>
    <n v="110.3"/>
    <n v="110.7"/>
    <n v="109.7"/>
    <n v="111.6"/>
    <n v="108.2"/>
    <n v="110.6"/>
    <n v="113.6"/>
    <x v="0"/>
    <m/>
    <m/>
    <m/>
    <m/>
  </r>
  <r>
    <s v="Rural"/>
    <x v="1"/>
    <x v="1"/>
    <n v="119.4"/>
    <n v="117.7"/>
    <n v="121.2"/>
    <n v="115"/>
    <n v="109"/>
    <n v="116.6"/>
    <n v="116"/>
    <n v="109.8"/>
    <n v="101.1"/>
    <n v="110.4"/>
    <n v="112.9"/>
    <n v="117.8"/>
    <m/>
    <n v="115.3"/>
    <n v="114.2"/>
    <n v="117.1"/>
    <n v="114.5"/>
    <n v="116.7"/>
    <s v="NA"/>
    <n v="113.2"/>
    <n v="112.9"/>
    <n v="110.9"/>
    <n v="110.8"/>
    <n v="109.9"/>
    <n v="112"/>
    <n v="108.7"/>
    <n v="110.9"/>
    <n v="114"/>
    <x v="0"/>
    <m/>
    <m/>
    <m/>
    <m/>
  </r>
  <r>
    <s v="Urban"/>
    <x v="1"/>
    <x v="1"/>
    <n v="121.9"/>
    <n v="122"/>
    <n v="124.5"/>
    <n v="115.2"/>
    <n v="102.5"/>
    <n v="114.1"/>
    <n v="111.5"/>
    <n v="108.2"/>
    <n v="95.4"/>
    <n v="113.5"/>
    <n v="112.1"/>
    <n v="119.9"/>
    <m/>
    <n v="115.2"/>
    <n v="116.2"/>
    <n v="115.3"/>
    <n v="111.7"/>
    <n v="114.7"/>
    <n v="112.5"/>
    <n v="111.1"/>
    <n v="112.6"/>
    <n v="110.4"/>
    <n v="111.3"/>
    <n v="110.3"/>
    <n v="111.6"/>
    <n v="108.7"/>
    <n v="111"/>
    <n v="113.1"/>
    <x v="0"/>
    <m/>
    <m/>
    <m/>
    <m/>
  </r>
  <r>
    <s v="Rural+Urban"/>
    <x v="1"/>
    <x v="1"/>
    <n v="120.2"/>
    <n v="119.2"/>
    <n v="122.5"/>
    <n v="115.1"/>
    <n v="106.6"/>
    <n v="115.4"/>
    <n v="114.5"/>
    <n v="109.3"/>
    <n v="99.2"/>
    <n v="111.4"/>
    <n v="112.6"/>
    <n v="118.8"/>
    <m/>
    <n v="115.3"/>
    <n v="114.7"/>
    <n v="116.4"/>
    <n v="113.3"/>
    <n v="115.9"/>
    <n v="112.5"/>
    <n v="112.4"/>
    <n v="112.8"/>
    <n v="110.7"/>
    <n v="111.1"/>
    <n v="110.1"/>
    <n v="111.8"/>
    <n v="108.7"/>
    <n v="110.9"/>
    <n v="113.6"/>
    <x v="0"/>
    <m/>
    <m/>
    <m/>
    <m/>
  </r>
  <r>
    <s v="Rural"/>
    <x v="1"/>
    <x v="2"/>
    <n v="120.1"/>
    <n v="118.1"/>
    <n v="120.7"/>
    <n v="116.1"/>
    <n v="109.3"/>
    <n v="119.6"/>
    <n v="117.9"/>
    <n v="110.2"/>
    <n v="101.2"/>
    <n v="110.7"/>
    <n v="113"/>
    <n v="118.3"/>
    <m/>
    <n v="116.2"/>
    <n v="114.6"/>
    <n v="117.5"/>
    <n v="114.9"/>
    <n v="117.2"/>
    <s v="NA"/>
    <n v="113.4"/>
    <n v="113.4"/>
    <n v="111.4"/>
    <n v="111.2"/>
    <n v="110.2"/>
    <n v="112.4"/>
    <n v="108.9"/>
    <n v="111.3"/>
    <n v="114.6"/>
    <x v="0"/>
    <m/>
    <m/>
    <m/>
    <m/>
  </r>
  <r>
    <s v="Urban"/>
    <x v="1"/>
    <x v="2"/>
    <n v="122.1"/>
    <n v="121.4"/>
    <n v="121.5"/>
    <n v="116.2"/>
    <n v="102.8"/>
    <n v="117.7"/>
    <n v="113.3"/>
    <n v="108.9"/>
    <n v="96.3"/>
    <n v="114.1"/>
    <n v="112.2"/>
    <n v="120.5"/>
    <m/>
    <n v="116"/>
    <n v="116.7"/>
    <n v="115.8"/>
    <n v="112.1"/>
    <n v="115.2"/>
    <n v="113.2"/>
    <n v="110.9"/>
    <n v="113"/>
    <n v="110.8"/>
    <n v="111.6"/>
    <n v="110.9"/>
    <n v="111.8"/>
    <n v="109.2"/>
    <n v="111.4"/>
    <n v="113.7"/>
    <x v="0"/>
    <m/>
    <m/>
    <m/>
    <m/>
  </r>
  <r>
    <s v="Rural+Urban"/>
    <x v="1"/>
    <x v="13"/>
    <n v="120.7"/>
    <n v="119.3"/>
    <n v="121"/>
    <n v="116.1"/>
    <n v="106.9"/>
    <n v="118.7"/>
    <n v="116.3"/>
    <n v="109.8"/>
    <n v="99.6"/>
    <n v="111.8"/>
    <n v="112.7"/>
    <n v="119.3"/>
    <m/>
    <n v="116.1"/>
    <n v="115.2"/>
    <n v="116.8"/>
    <n v="113.7"/>
    <n v="116.4"/>
    <n v="113.2"/>
    <n v="112.5"/>
    <n v="113.2"/>
    <n v="111.2"/>
    <n v="111.4"/>
    <n v="110.6"/>
    <n v="112"/>
    <n v="109"/>
    <n v="111.3"/>
    <n v="114.2"/>
    <x v="0"/>
    <m/>
    <m/>
    <m/>
    <m/>
  </r>
  <r>
    <s v="Rural"/>
    <x v="1"/>
    <x v="3"/>
    <n v="120.2"/>
    <n v="118.9"/>
    <n v="118.1"/>
    <n v="117"/>
    <n v="109.7"/>
    <n v="125.5"/>
    <n v="120.5"/>
    <n v="111"/>
    <n v="102.6"/>
    <n v="111.2"/>
    <n v="113.5"/>
    <n v="118.7"/>
    <m/>
    <n v="117.2"/>
    <n v="115.4"/>
    <n v="118.1"/>
    <n v="116.1"/>
    <n v="117.8"/>
    <s v="NA"/>
    <n v="113.4"/>
    <n v="113.7"/>
    <n v="111.8"/>
    <n v="111.2"/>
    <n v="110.5"/>
    <n v="113"/>
    <n v="108.9"/>
    <n v="111.5"/>
    <n v="115.4"/>
    <x v="0"/>
    <m/>
    <m/>
    <m/>
    <m/>
  </r>
  <r>
    <s v="Urban"/>
    <x v="1"/>
    <x v="3"/>
    <n v="122.5"/>
    <n v="121.7"/>
    <n v="113.3"/>
    <n v="117"/>
    <n v="103.1"/>
    <n v="126.7"/>
    <n v="121.2"/>
    <n v="111"/>
    <n v="100.3"/>
    <n v="115.3"/>
    <n v="112.7"/>
    <n v="121"/>
    <m/>
    <n v="118.2"/>
    <n v="117.6"/>
    <n v="116.3"/>
    <n v="112.5"/>
    <n v="115.7"/>
    <n v="113.9"/>
    <n v="110.9"/>
    <n v="113.4"/>
    <n v="111"/>
    <n v="111.2"/>
    <n v="111.2"/>
    <n v="112.5"/>
    <n v="109.1"/>
    <n v="111.4"/>
    <n v="114.7"/>
    <x v="0"/>
    <m/>
    <m/>
    <m/>
    <m/>
  </r>
  <r>
    <s v="Rural+Urban"/>
    <x v="1"/>
    <x v="3"/>
    <n v="120.9"/>
    <n v="119.9"/>
    <n v="116.2"/>
    <n v="117"/>
    <n v="107.3"/>
    <n v="126.1"/>
    <n v="120.7"/>
    <n v="111"/>
    <n v="101.8"/>
    <n v="112.6"/>
    <n v="113.2"/>
    <n v="119.8"/>
    <m/>
    <n v="117.6"/>
    <n v="116"/>
    <n v="117.4"/>
    <n v="114.6"/>
    <n v="117"/>
    <n v="113.9"/>
    <n v="112.5"/>
    <n v="113.6"/>
    <n v="111.5"/>
    <n v="111.2"/>
    <n v="110.9"/>
    <n v="112.7"/>
    <n v="109"/>
    <n v="111.5"/>
    <n v="115.1"/>
    <x v="0"/>
    <m/>
    <m/>
    <m/>
    <m/>
  </r>
  <r>
    <s v="Rural"/>
    <x v="1"/>
    <x v="4"/>
    <n v="120.3"/>
    <n v="120.2"/>
    <n v="116.9"/>
    <n v="118"/>
    <n v="110.1"/>
    <n v="126.3"/>
    <n v="123.9"/>
    <n v="111.5"/>
    <n v="103.5"/>
    <n v="111.6"/>
    <n v="114.2"/>
    <n v="119.2"/>
    <m/>
    <n v="118.2"/>
    <n v="116.3"/>
    <n v="118.7"/>
    <n v="116.8"/>
    <n v="118.5"/>
    <s v="NA"/>
    <n v="113.4"/>
    <n v="114.1"/>
    <n v="112.1"/>
    <n v="111.4"/>
    <n v="110.9"/>
    <n v="113.1"/>
    <n v="108.9"/>
    <n v="111.8"/>
    <n v="116"/>
    <x v="0"/>
    <m/>
    <m/>
    <m/>
    <m/>
  </r>
  <r>
    <s v="Urban"/>
    <x v="1"/>
    <x v="4"/>
    <n v="122.7"/>
    <n v="124.1"/>
    <n v="114.2"/>
    <n v="119.1"/>
    <n v="103.5"/>
    <n v="129.19999999999999"/>
    <n v="127"/>
    <n v="112.6"/>
    <n v="101.3"/>
    <n v="117"/>
    <n v="112.9"/>
    <n v="121.7"/>
    <m/>
    <n v="120"/>
    <n v="118.3"/>
    <n v="116.8"/>
    <n v="112.9"/>
    <n v="116.2"/>
    <n v="114.3"/>
    <n v="111.1"/>
    <n v="114.1"/>
    <n v="111.2"/>
    <n v="111.3"/>
    <n v="111.5"/>
    <n v="112.9"/>
    <n v="109.3"/>
    <n v="111.7"/>
    <n v="115.6"/>
    <x v="0"/>
    <m/>
    <m/>
    <m/>
    <m/>
  </r>
  <r>
    <s v="Rural+Urban"/>
    <x v="1"/>
    <x v="4"/>
    <n v="121.1"/>
    <n v="121.6"/>
    <n v="115.9"/>
    <n v="118.4"/>
    <n v="107.7"/>
    <n v="127.7"/>
    <n v="125"/>
    <n v="111.9"/>
    <n v="102.8"/>
    <n v="113.4"/>
    <n v="113.7"/>
    <n v="120.4"/>
    <m/>
    <n v="118.9"/>
    <n v="116.8"/>
    <n v="118"/>
    <n v="115.2"/>
    <n v="117.6"/>
    <n v="114.3"/>
    <n v="112.5"/>
    <n v="114.1"/>
    <n v="111.8"/>
    <n v="111.3"/>
    <n v="111.2"/>
    <n v="113"/>
    <n v="109.1"/>
    <n v="111.8"/>
    <n v="115.8"/>
    <x v="0"/>
    <m/>
    <m/>
    <m/>
    <m/>
  </r>
  <r>
    <s v="Rural"/>
    <x v="1"/>
    <x v="5"/>
    <n v="120.7"/>
    <n v="121.6"/>
    <n v="116.1"/>
    <n v="119.3"/>
    <n v="110.3"/>
    <n v="125.8"/>
    <n v="129.30000000000001"/>
    <n v="112.2"/>
    <n v="103.6"/>
    <n v="112.3"/>
    <n v="114.9"/>
    <n v="120.1"/>
    <m/>
    <n v="119.5"/>
    <n v="117.3"/>
    <n v="119.7"/>
    <n v="117.3"/>
    <n v="119.3"/>
    <s v="NA"/>
    <n v="114.4"/>
    <n v="114.9"/>
    <n v="112.8"/>
    <n v="112.2"/>
    <n v="111.4"/>
    <n v="114.3"/>
    <n v="108"/>
    <n v="112.3"/>
    <n v="117"/>
    <x v="0"/>
    <m/>
    <m/>
    <m/>
    <m/>
  </r>
  <r>
    <s v="Urban"/>
    <x v="1"/>
    <x v="5"/>
    <n v="123.1"/>
    <n v="125.9"/>
    <n v="115.4"/>
    <n v="120.4"/>
    <n v="103.4"/>
    <n v="131.19999999999999"/>
    <n v="137.5"/>
    <n v="112.8"/>
    <n v="101.4"/>
    <n v="118.3"/>
    <n v="113.2"/>
    <n v="122.4"/>
    <m/>
    <n v="122"/>
    <n v="119"/>
    <n v="117.4"/>
    <n v="113.2"/>
    <n v="116.7"/>
    <n v="113.9"/>
    <n v="111.2"/>
    <n v="114.3"/>
    <n v="111.4"/>
    <n v="111.5"/>
    <n v="111.8"/>
    <n v="115.1"/>
    <n v="108.7"/>
    <n v="112.2"/>
    <n v="116.4"/>
    <x v="0"/>
    <m/>
    <m/>
    <m/>
    <m/>
  </r>
  <r>
    <s v="Rural+Urban"/>
    <x v="1"/>
    <x v="5"/>
    <n v="121.5"/>
    <n v="123.1"/>
    <n v="115.8"/>
    <n v="119.7"/>
    <n v="107.8"/>
    <n v="128.30000000000001"/>
    <n v="132.1"/>
    <n v="112.4"/>
    <n v="102.9"/>
    <n v="114.3"/>
    <n v="114.2"/>
    <n v="121.2"/>
    <m/>
    <n v="120.4"/>
    <n v="117.8"/>
    <n v="118.8"/>
    <n v="115.6"/>
    <n v="118.3"/>
    <n v="113.9"/>
    <n v="113.2"/>
    <n v="114.6"/>
    <n v="112.3"/>
    <n v="111.8"/>
    <n v="111.6"/>
    <n v="114.8"/>
    <n v="108.3"/>
    <n v="112.3"/>
    <n v="116.7"/>
    <x v="0"/>
    <m/>
    <m/>
    <m/>
    <m/>
  </r>
  <r>
    <s v="Rural"/>
    <x v="1"/>
    <x v="6"/>
    <n v="121.7"/>
    <n v="122.5"/>
    <n v="117.7"/>
    <n v="120.6"/>
    <n v="110.4"/>
    <n v="129.1"/>
    <n v="150.1"/>
    <n v="113.2"/>
    <n v="104.8"/>
    <n v="113.3"/>
    <n v="115.6"/>
    <n v="120.9"/>
    <m/>
    <n v="123.3"/>
    <n v="118"/>
    <n v="120.7"/>
    <n v="118.3"/>
    <n v="120.3"/>
    <s v="NA"/>
    <n v="115.3"/>
    <n v="115.4"/>
    <n v="113.4"/>
    <n v="113.2"/>
    <n v="111.8"/>
    <n v="115.5"/>
    <n v="108.8"/>
    <n v="113.1"/>
    <n v="119.5"/>
    <x v="0"/>
    <m/>
    <m/>
    <m/>
    <m/>
  </r>
  <r>
    <s v="Urban"/>
    <x v="1"/>
    <x v="6"/>
    <n v="123.8"/>
    <n v="126.4"/>
    <n v="118"/>
    <n v="121.6"/>
    <n v="103.5"/>
    <n v="133.69999999999999"/>
    <n v="172.4"/>
    <n v="113.1"/>
    <n v="102.7"/>
    <n v="120"/>
    <n v="113.8"/>
    <n v="123.4"/>
    <m/>
    <n v="127.1"/>
    <n v="121"/>
    <n v="118"/>
    <n v="113.6"/>
    <n v="117.4"/>
    <n v="114.8"/>
    <n v="111.6"/>
    <n v="114.9"/>
    <n v="111.5"/>
    <n v="113"/>
    <n v="112.4"/>
    <n v="117.8"/>
    <n v="109.7"/>
    <n v="113.5"/>
    <n v="118.9"/>
    <x v="0"/>
    <m/>
    <m/>
    <m/>
    <m/>
  </r>
  <r>
    <s v="Rural+Urban"/>
    <x v="1"/>
    <x v="6"/>
    <n v="122.4"/>
    <n v="123.9"/>
    <n v="117.8"/>
    <n v="121"/>
    <n v="107.9"/>
    <n v="131.19999999999999"/>
    <n v="157.69999999999999"/>
    <n v="113.2"/>
    <n v="104.1"/>
    <n v="115.5"/>
    <n v="114.8"/>
    <n v="122.1"/>
    <m/>
    <n v="124.7"/>
    <n v="118.8"/>
    <n v="119.6"/>
    <n v="116.3"/>
    <n v="119.1"/>
    <n v="114.8"/>
    <n v="113.9"/>
    <n v="115.2"/>
    <n v="112.7"/>
    <n v="113.1"/>
    <n v="112.1"/>
    <n v="116.8"/>
    <n v="109.2"/>
    <n v="113.3"/>
    <n v="119.2"/>
    <x v="0"/>
    <m/>
    <m/>
    <m/>
    <m/>
  </r>
  <r>
    <s v="Rural"/>
    <x v="1"/>
    <x v="7"/>
    <n v="121.8"/>
    <n v="122.8"/>
    <n v="117.8"/>
    <n v="121.9"/>
    <n v="110.6"/>
    <n v="129.69999999999999"/>
    <n v="161.1"/>
    <n v="114.1"/>
    <n v="105.1"/>
    <n v="114.6"/>
    <n v="115.8"/>
    <n v="121.7"/>
    <m/>
    <n v="125.3"/>
    <n v="118.8"/>
    <n v="120.9"/>
    <n v="118.8"/>
    <n v="120.7"/>
    <s v="NA"/>
    <n v="115.4"/>
    <n v="115.9"/>
    <n v="114"/>
    <n v="113.2"/>
    <n v="112.2"/>
    <n v="116.2"/>
    <n v="109.4"/>
    <n v="113.5"/>
    <n v="120.7"/>
    <x v="0"/>
    <m/>
    <m/>
    <m/>
    <m/>
  </r>
  <r>
    <s v="Urban"/>
    <x v="1"/>
    <x v="7"/>
    <n v="124.8"/>
    <n v="127.3"/>
    <n v="116.5"/>
    <n v="122.2"/>
    <n v="103.6"/>
    <n v="132.69999999999999"/>
    <n v="181.9"/>
    <n v="115.2"/>
    <n v="102.7"/>
    <n v="122.1"/>
    <n v="114.4"/>
    <n v="124.7"/>
    <m/>
    <n v="128.9"/>
    <n v="123"/>
    <n v="118.6"/>
    <n v="114.1"/>
    <n v="117.9"/>
    <n v="115.5"/>
    <n v="111.8"/>
    <n v="115.3"/>
    <n v="112.2"/>
    <n v="112.5"/>
    <n v="112.9"/>
    <n v="119.2"/>
    <n v="110.5"/>
    <n v="113.9"/>
    <n v="119.9"/>
    <x v="0"/>
    <m/>
    <m/>
    <m/>
    <m/>
  </r>
  <r>
    <s v="Rural+Urban"/>
    <x v="1"/>
    <x v="7"/>
    <n v="122.7"/>
    <n v="124.4"/>
    <n v="117.3"/>
    <n v="122"/>
    <n v="108"/>
    <n v="131.1"/>
    <n v="168.2"/>
    <n v="114.5"/>
    <n v="104.3"/>
    <n v="117.1"/>
    <n v="115.2"/>
    <n v="123.1"/>
    <m/>
    <n v="126.6"/>
    <n v="119.9"/>
    <n v="120"/>
    <n v="116.8"/>
    <n v="119.6"/>
    <n v="115.5"/>
    <n v="114"/>
    <n v="115.6"/>
    <n v="113.3"/>
    <n v="112.8"/>
    <n v="112.6"/>
    <n v="118"/>
    <n v="109.9"/>
    <n v="113.7"/>
    <n v="120.3"/>
    <x v="0"/>
    <m/>
    <m/>
    <m/>
    <m/>
  </r>
  <r>
    <s v="Rural"/>
    <x v="1"/>
    <x v="8"/>
    <n v="122.3"/>
    <n v="122.4"/>
    <n v="117.8"/>
    <n v="122.7"/>
    <n v="110.4"/>
    <n v="129.80000000000001"/>
    <n v="158.80000000000001"/>
    <n v="115"/>
    <n v="104.7"/>
    <n v="114.9"/>
    <n v="116.5"/>
    <n v="122.6"/>
    <m/>
    <n v="125.3"/>
    <n v="119.5"/>
    <n v="121.7"/>
    <n v="119.2"/>
    <n v="121.3"/>
    <s v="NA"/>
    <n v="115.8"/>
    <n v="116.7"/>
    <n v="114.5"/>
    <n v="112.8"/>
    <n v="112.6"/>
    <n v="116.6"/>
    <n v="109.1"/>
    <n v="113.7"/>
    <n v="120.9"/>
    <x v="0"/>
    <m/>
    <m/>
    <m/>
    <m/>
  </r>
  <r>
    <s v="Urban"/>
    <x v="1"/>
    <x v="8"/>
    <n v="124.2"/>
    <n v="125.4"/>
    <n v="116.4"/>
    <n v="122.7"/>
    <n v="103.5"/>
    <n v="124.5"/>
    <n v="168.6"/>
    <n v="116.9"/>
    <n v="101.9"/>
    <n v="122.9"/>
    <n v="114.8"/>
    <n v="125.2"/>
    <m/>
    <n v="126.7"/>
    <n v="124.3"/>
    <n v="119.2"/>
    <n v="114.5"/>
    <n v="118.4"/>
    <n v="116.1"/>
    <n v="111.8"/>
    <n v="115.5"/>
    <n v="112.3"/>
    <n v="111.2"/>
    <n v="113.4"/>
    <n v="120"/>
    <n v="110"/>
    <n v="113.6"/>
    <n v="119.2"/>
    <x v="0"/>
    <m/>
    <m/>
    <m/>
    <m/>
  </r>
  <r>
    <s v="Rural+Urban"/>
    <x v="1"/>
    <x v="8"/>
    <n v="122.9"/>
    <n v="123.5"/>
    <n v="117.3"/>
    <n v="122.7"/>
    <n v="107.9"/>
    <n v="127.3"/>
    <n v="162.1"/>
    <n v="115.6"/>
    <n v="103.8"/>
    <n v="117.6"/>
    <n v="115.8"/>
    <n v="123.8"/>
    <m/>
    <n v="125.8"/>
    <n v="120.8"/>
    <n v="120.7"/>
    <n v="117.2"/>
    <n v="120.1"/>
    <n v="116.1"/>
    <n v="114.3"/>
    <n v="116.1"/>
    <n v="113.7"/>
    <n v="112"/>
    <n v="113.1"/>
    <n v="118.6"/>
    <n v="109.5"/>
    <n v="113.7"/>
    <n v="120.1"/>
    <x v="0"/>
    <m/>
    <m/>
    <m/>
    <m/>
  </r>
  <r>
    <s v="Rural"/>
    <x v="1"/>
    <x v="9"/>
    <n v="122.6"/>
    <n v="122.5"/>
    <n v="118.3"/>
    <n v="123.2"/>
    <n v="110.5"/>
    <n v="128.9"/>
    <n v="155.30000000000001"/>
    <n v="115.5"/>
    <n v="104"/>
    <n v="115.3"/>
    <n v="116.8"/>
    <n v="123.2"/>
    <m/>
    <n v="125.1"/>
    <n v="120"/>
    <n v="122.7"/>
    <n v="120.3"/>
    <n v="122.3"/>
    <s v="NA"/>
    <n v="116.4"/>
    <n v="117.5"/>
    <n v="115.3"/>
    <n v="112.6"/>
    <n v="113"/>
    <n v="116.9"/>
    <n v="109.3"/>
    <n v="114"/>
    <n v="121"/>
    <x v="0"/>
    <m/>
    <m/>
    <m/>
    <m/>
  </r>
  <r>
    <s v="Urban"/>
    <x v="1"/>
    <x v="9"/>
    <n v="124.6"/>
    <n v="126.1"/>
    <n v="117.8"/>
    <n v="123.1"/>
    <n v="103.5"/>
    <n v="123.5"/>
    <n v="159.6"/>
    <n v="117.4"/>
    <n v="101.2"/>
    <n v="123.8"/>
    <n v="115.2"/>
    <n v="125.9"/>
    <m/>
    <n v="125.8"/>
    <n v="124.3"/>
    <n v="119.6"/>
    <n v="114.9"/>
    <n v="118.9"/>
    <n v="116.7"/>
    <n v="112"/>
    <n v="115.8"/>
    <n v="112.6"/>
    <n v="111"/>
    <n v="113.6"/>
    <n v="120.2"/>
    <n v="110.1"/>
    <n v="113.7"/>
    <n v="119.1"/>
    <x v="0"/>
    <m/>
    <m/>
    <m/>
    <m/>
  </r>
  <r>
    <s v="Rural+Urban"/>
    <x v="1"/>
    <x v="9"/>
    <n v="123.2"/>
    <n v="123.8"/>
    <n v="118.1"/>
    <n v="123.2"/>
    <n v="107.9"/>
    <n v="126.4"/>
    <n v="156.80000000000001"/>
    <n v="116.1"/>
    <n v="103.1"/>
    <n v="118.1"/>
    <n v="116.1"/>
    <n v="124.5"/>
    <m/>
    <n v="125.4"/>
    <n v="121.1"/>
    <n v="121.5"/>
    <n v="118.1"/>
    <n v="121"/>
    <n v="116.7"/>
    <n v="114.7"/>
    <n v="116.7"/>
    <n v="114.3"/>
    <n v="111.8"/>
    <n v="113.3"/>
    <n v="118.8"/>
    <n v="109.6"/>
    <n v="113.9"/>
    <n v="120.1"/>
    <x v="0"/>
    <m/>
    <m/>
    <m/>
    <m/>
  </r>
  <r>
    <s v="Rural"/>
    <x v="1"/>
    <x v="11"/>
    <n v="122.7"/>
    <n v="122.6"/>
    <n v="119.9"/>
    <n v="124"/>
    <n v="110.5"/>
    <n v="128.80000000000001"/>
    <n v="152"/>
    <n v="116.2"/>
    <n v="103.3"/>
    <n v="115.8"/>
    <n v="116.8"/>
    <n v="124.5"/>
    <m/>
    <n v="124.9"/>
    <n v="120.8"/>
    <n v="123.3"/>
    <n v="120.5"/>
    <n v="122.9"/>
    <s v="NA"/>
    <n v="117.3"/>
    <n v="118.1"/>
    <n v="115.9"/>
    <n v="112"/>
    <n v="113.3"/>
    <n v="117.2"/>
    <n v="108.8"/>
    <n v="114.1"/>
    <n v="121.1"/>
    <x v="0"/>
    <m/>
    <m/>
    <m/>
    <m/>
  </r>
  <r>
    <s v="Urban"/>
    <x v="1"/>
    <x v="11"/>
    <n v="124.5"/>
    <n v="125.6"/>
    <n v="122.7"/>
    <n v="124.6"/>
    <n v="103.2"/>
    <n v="122.2"/>
    <n v="153.19999999999999"/>
    <n v="119.3"/>
    <n v="99.8"/>
    <n v="124.6"/>
    <n v="115.8"/>
    <n v="126.9"/>
    <m/>
    <n v="125.4"/>
    <n v="125.8"/>
    <n v="120.3"/>
    <n v="115.4"/>
    <n v="119.5"/>
    <n v="117.1"/>
    <n v="112.6"/>
    <n v="116.4"/>
    <n v="113"/>
    <n v="109.7"/>
    <n v="114"/>
    <n v="120.3"/>
    <n v="109.6"/>
    <n v="113.4"/>
    <n v="119"/>
    <x v="0"/>
    <m/>
    <m/>
    <m/>
    <m/>
  </r>
  <r>
    <s v="Rural+Urban"/>
    <x v="1"/>
    <x v="11"/>
    <n v="123.3"/>
    <n v="123.7"/>
    <n v="121"/>
    <n v="124.2"/>
    <n v="107.8"/>
    <n v="125.7"/>
    <n v="152.4"/>
    <n v="117.2"/>
    <n v="102.1"/>
    <n v="118.7"/>
    <n v="116.4"/>
    <n v="125.6"/>
    <m/>
    <n v="125.1"/>
    <n v="122.1"/>
    <n v="122.1"/>
    <n v="118.4"/>
    <n v="121.6"/>
    <n v="117.1"/>
    <n v="115.5"/>
    <n v="117.3"/>
    <n v="114.8"/>
    <n v="110.8"/>
    <n v="113.7"/>
    <n v="119"/>
    <n v="109.1"/>
    <n v="113.8"/>
    <n v="120.1"/>
    <x v="0"/>
    <m/>
    <m/>
    <m/>
    <m/>
  </r>
  <r>
    <s v="Rural"/>
    <x v="1"/>
    <x v="12"/>
    <n v="122.4"/>
    <n v="122.4"/>
    <n v="121.8"/>
    <n v="124.2"/>
    <n v="110.2"/>
    <n v="128.6"/>
    <n v="140.30000000000001"/>
    <n v="116.3"/>
    <n v="102"/>
    <n v="116"/>
    <n v="117.3"/>
    <n v="124.8"/>
    <m/>
    <n v="123.3"/>
    <n v="121.7"/>
    <n v="123.8"/>
    <n v="120.6"/>
    <n v="123.3"/>
    <s v="NA"/>
    <n v="117.4"/>
    <n v="118.2"/>
    <n v="116.2"/>
    <n v="111.5"/>
    <n v="113.3"/>
    <n v="117.7"/>
    <n v="109.4"/>
    <n v="114.2"/>
    <n v="120.3"/>
    <x v="0"/>
    <m/>
    <m/>
    <m/>
    <m/>
  </r>
  <r>
    <s v="Urban"/>
    <x v="1"/>
    <x v="12"/>
    <n v="124"/>
    <n v="124.7"/>
    <n v="126.3"/>
    <n v="124.9"/>
    <n v="103"/>
    <n v="122.3"/>
    <n v="141"/>
    <n v="120.1"/>
    <n v="97.8"/>
    <n v="125.4"/>
    <n v="116.1"/>
    <n v="127.6"/>
    <m/>
    <n v="124"/>
    <n v="126.4"/>
    <n v="120.7"/>
    <n v="115.8"/>
    <n v="120"/>
    <n v="116.5"/>
    <n v="113"/>
    <n v="116.8"/>
    <n v="113.2"/>
    <n v="108.8"/>
    <n v="114.3"/>
    <n v="120.7"/>
    <n v="110.4"/>
    <n v="113.4"/>
    <n v="118.4"/>
    <x v="0"/>
    <m/>
    <m/>
    <m/>
    <m/>
  </r>
  <r>
    <s v="Rural+Urban"/>
    <x v="1"/>
    <x v="12"/>
    <n v="122.9"/>
    <n v="123.2"/>
    <n v="123.5"/>
    <n v="124.5"/>
    <n v="107.6"/>
    <n v="125.7"/>
    <n v="140.5"/>
    <n v="117.6"/>
    <n v="100.6"/>
    <n v="119.1"/>
    <n v="116.8"/>
    <n v="126.1"/>
    <m/>
    <n v="123.6"/>
    <n v="123"/>
    <n v="122.6"/>
    <n v="118.6"/>
    <n v="122"/>
    <n v="116.5"/>
    <n v="115.7"/>
    <n v="117.5"/>
    <n v="115.1"/>
    <n v="110.1"/>
    <n v="113.9"/>
    <n v="119.5"/>
    <n v="109.8"/>
    <n v="113.8"/>
    <n v="119.4"/>
    <x v="0"/>
    <m/>
    <m/>
    <m/>
    <m/>
  </r>
  <r>
    <s v="Rural"/>
    <x v="2"/>
    <x v="0"/>
    <n v="123.1"/>
    <n v="123.1"/>
    <n v="122.1"/>
    <n v="124.9"/>
    <n v="111"/>
    <n v="130.4"/>
    <n v="132.30000000000001"/>
    <n v="117.2"/>
    <n v="100.5"/>
    <n v="117.2"/>
    <n v="117.9"/>
    <n v="125.6"/>
    <m/>
    <n v="122.8"/>
    <n v="122.7"/>
    <n v="124.4"/>
    <n v="121.6"/>
    <n v="124"/>
    <s v="NA"/>
    <n v="118.4"/>
    <n v="118.9"/>
    <n v="116.6"/>
    <n v="111"/>
    <n v="114"/>
    <n v="118.2"/>
    <n v="110.2"/>
    <n v="114.5"/>
    <n v="120.3"/>
    <x v="0"/>
    <m/>
    <m/>
    <m/>
    <m/>
  </r>
  <r>
    <s v="Urban"/>
    <x v="2"/>
    <x v="0"/>
    <n v="124"/>
    <n v="125.5"/>
    <n v="126.6"/>
    <n v="125.2"/>
    <n v="104.3"/>
    <n v="121.3"/>
    <n v="134.4"/>
    <n v="122.9"/>
    <n v="96.1"/>
    <n v="126.6"/>
    <n v="116.5"/>
    <n v="128"/>
    <m/>
    <n v="123.5"/>
    <n v="127.4"/>
    <n v="121"/>
    <n v="116.1"/>
    <n v="120.2"/>
    <n v="117.3"/>
    <n v="113.4"/>
    <n v="117.2"/>
    <n v="113.7"/>
    <n v="107.9"/>
    <n v="114.6"/>
    <n v="120.8"/>
    <n v="111.4"/>
    <n v="113.4"/>
    <n v="118.5"/>
    <x v="0"/>
    <m/>
    <m/>
    <m/>
    <m/>
  </r>
  <r>
    <s v="Rural+Urban"/>
    <x v="2"/>
    <x v="0"/>
    <n v="123.4"/>
    <n v="123.9"/>
    <n v="123.8"/>
    <n v="125"/>
    <n v="108.5"/>
    <n v="126.2"/>
    <n v="133"/>
    <n v="119.1"/>
    <n v="99"/>
    <n v="120.3"/>
    <n v="117.3"/>
    <n v="126.7"/>
    <m/>
    <n v="123.1"/>
    <n v="124"/>
    <n v="123.1"/>
    <n v="119.3"/>
    <n v="122.5"/>
    <n v="117.3"/>
    <n v="116.5"/>
    <n v="118.1"/>
    <n v="115.5"/>
    <n v="109.4"/>
    <n v="114.3"/>
    <n v="119.7"/>
    <n v="110.7"/>
    <n v="114"/>
    <n v="119.5"/>
    <x v="0"/>
    <m/>
    <m/>
    <m/>
    <m/>
  </r>
  <r>
    <s v="Rural"/>
    <x v="2"/>
    <x v="1"/>
    <n v="123.4"/>
    <n v="124.4"/>
    <n v="122.1"/>
    <n v="125.8"/>
    <n v="111.5"/>
    <n v="129.4"/>
    <n v="128.19999999999999"/>
    <n v="118.8"/>
    <n v="100"/>
    <n v="118.6"/>
    <n v="118.8"/>
    <n v="126.8"/>
    <m/>
    <n v="122.8"/>
    <n v="124.2"/>
    <n v="125.4"/>
    <n v="122.7"/>
    <n v="125"/>
    <s v="NA"/>
    <n v="120"/>
    <n v="119.6"/>
    <n v="117.7"/>
    <n v="110.9"/>
    <n v="114.8"/>
    <n v="118.7"/>
    <n v="110.8"/>
    <n v="115"/>
    <n v="120.6"/>
    <x v="0"/>
    <m/>
    <m/>
    <m/>
    <m/>
  </r>
  <r>
    <s v="Urban"/>
    <x v="2"/>
    <x v="1"/>
    <n v="124.3"/>
    <n v="126.5"/>
    <n v="119.5"/>
    <n v="125.6"/>
    <n v="104.9"/>
    <n v="121.6"/>
    <n v="131.80000000000001"/>
    <n v="125.1"/>
    <n v="95"/>
    <n v="127.7"/>
    <n v="116.8"/>
    <n v="128.6"/>
    <m/>
    <n v="123.7"/>
    <n v="128.1"/>
    <n v="121.3"/>
    <n v="116.5"/>
    <n v="120.6"/>
    <n v="118.1"/>
    <n v="114"/>
    <n v="117.7"/>
    <n v="114.1"/>
    <n v="106.8"/>
    <n v="114.9"/>
    <n v="120.4"/>
    <n v="111.7"/>
    <n v="113.2"/>
    <n v="118.7"/>
    <x v="0"/>
    <m/>
    <m/>
    <m/>
    <m/>
  </r>
  <r>
    <s v="Rural+Urban"/>
    <x v="2"/>
    <x v="1"/>
    <n v="123.7"/>
    <n v="125.1"/>
    <n v="121.1"/>
    <n v="125.7"/>
    <n v="109.1"/>
    <n v="125.8"/>
    <n v="129.4"/>
    <n v="120.9"/>
    <n v="98.3"/>
    <n v="121.6"/>
    <n v="118"/>
    <n v="127.6"/>
    <m/>
    <n v="123.1"/>
    <n v="125.2"/>
    <n v="123.8"/>
    <n v="120.1"/>
    <n v="123.3"/>
    <n v="118.1"/>
    <n v="117.7"/>
    <n v="118.7"/>
    <n v="116.3"/>
    <n v="108.7"/>
    <n v="114.9"/>
    <n v="119.7"/>
    <n v="111.2"/>
    <n v="114.1"/>
    <n v="119.7"/>
    <x v="0"/>
    <m/>
    <m/>
    <m/>
    <m/>
  </r>
  <r>
    <s v="Rural"/>
    <x v="2"/>
    <x v="2"/>
    <n v="123.3"/>
    <n v="124.7"/>
    <n v="118.9"/>
    <n v="126"/>
    <n v="111.8"/>
    <n v="130.9"/>
    <n v="128"/>
    <n v="119.9"/>
    <n v="98.9"/>
    <n v="119.4"/>
    <n v="118.9"/>
    <n v="127.7"/>
    <m/>
    <n v="123.1"/>
    <n v="124.7"/>
    <n v="126"/>
    <n v="122.9"/>
    <n v="125.5"/>
    <s v="NA"/>
    <n v="120.6"/>
    <n v="120.2"/>
    <n v="118.2"/>
    <n v="111.6"/>
    <n v="115.5"/>
    <n v="119.4"/>
    <n v="110.8"/>
    <n v="115.5"/>
    <n v="121.1"/>
    <x v="0"/>
    <m/>
    <m/>
    <m/>
    <m/>
  </r>
  <r>
    <s v="Urban"/>
    <x v="2"/>
    <x v="2"/>
    <n v="124"/>
    <n v="126.7"/>
    <n v="113.5"/>
    <n v="125.9"/>
    <n v="104.8"/>
    <n v="123.8"/>
    <n v="131.4"/>
    <n v="127.2"/>
    <n v="93.2"/>
    <n v="127.4"/>
    <n v="117"/>
    <n v="129.19999999999999"/>
    <m/>
    <n v="123.9"/>
    <n v="128.80000000000001"/>
    <n v="121.7"/>
    <n v="116.9"/>
    <n v="120.9"/>
    <n v="118.6"/>
    <n v="114.4"/>
    <n v="118"/>
    <n v="114.3"/>
    <n v="108.4"/>
    <n v="115.4"/>
    <n v="120.6"/>
    <n v="111.3"/>
    <n v="113.8"/>
    <n v="119.1"/>
    <x v="0"/>
    <m/>
    <m/>
    <m/>
    <m/>
  </r>
  <r>
    <s v="Rural+Urban"/>
    <x v="2"/>
    <x v="2"/>
    <n v="123.5"/>
    <n v="125.4"/>
    <n v="116.8"/>
    <n v="126"/>
    <n v="109.2"/>
    <n v="127.6"/>
    <n v="129.19999999999999"/>
    <n v="122.4"/>
    <n v="97"/>
    <n v="122.1"/>
    <n v="118.1"/>
    <n v="128.4"/>
    <m/>
    <n v="123.4"/>
    <n v="125.8"/>
    <n v="124.3"/>
    <n v="120.4"/>
    <n v="123.7"/>
    <n v="118.6"/>
    <n v="118.3"/>
    <n v="119.2"/>
    <n v="116.7"/>
    <n v="109.9"/>
    <n v="115.4"/>
    <n v="120.1"/>
    <n v="111"/>
    <n v="114.7"/>
    <n v="120.2"/>
    <x v="0"/>
    <m/>
    <m/>
    <m/>
    <m/>
  </r>
  <r>
    <s v="Rural"/>
    <x v="2"/>
    <x v="3"/>
    <n v="123.3"/>
    <n v="125.5"/>
    <n v="117.2"/>
    <n v="126.8"/>
    <n v="111.9"/>
    <n v="134.19999999999999"/>
    <n v="127.5"/>
    <n v="121.5"/>
    <n v="97.8"/>
    <n v="119.8"/>
    <n v="119.4"/>
    <n v="128.69999999999999"/>
    <m/>
    <n v="123.6"/>
    <n v="125.7"/>
    <n v="126.4"/>
    <n v="123.3"/>
    <n v="126"/>
    <s v="NA"/>
    <n v="121.2"/>
    <n v="120.9"/>
    <n v="118.6"/>
    <n v="111.9"/>
    <n v="116.2"/>
    <n v="119.9"/>
    <n v="111.6"/>
    <n v="116"/>
    <n v="121.5"/>
    <x v="0"/>
    <m/>
    <m/>
    <m/>
    <m/>
  </r>
  <r>
    <s v="Urban"/>
    <x v="2"/>
    <x v="3"/>
    <n v="123.8"/>
    <n v="128.19999999999999"/>
    <n v="110"/>
    <n v="126.3"/>
    <n v="104.5"/>
    <n v="130.6"/>
    <n v="130.80000000000001"/>
    <n v="131.30000000000001"/>
    <n v="91.6"/>
    <n v="127.7"/>
    <n v="117.2"/>
    <n v="129.5"/>
    <m/>
    <n v="124.6"/>
    <n v="130.1"/>
    <n v="122.1"/>
    <n v="117.2"/>
    <n v="121.3"/>
    <n v="119.2"/>
    <n v="114.7"/>
    <n v="118.4"/>
    <n v="114.6"/>
    <n v="108.4"/>
    <n v="115.6"/>
    <n v="121.7"/>
    <n v="111.8"/>
    <n v="114.2"/>
    <n v="119.7"/>
    <x v="0"/>
    <m/>
    <m/>
    <m/>
    <m/>
  </r>
  <r>
    <s v="Rural+Urban"/>
    <x v="2"/>
    <x v="3"/>
    <n v="123.5"/>
    <n v="126.4"/>
    <n v="114.4"/>
    <n v="126.6"/>
    <n v="109.2"/>
    <n v="132.5"/>
    <n v="128.6"/>
    <n v="124.8"/>
    <n v="95.7"/>
    <n v="122.4"/>
    <n v="118.5"/>
    <n v="129.1"/>
    <m/>
    <n v="124"/>
    <n v="126.9"/>
    <n v="124.7"/>
    <n v="120.8"/>
    <n v="124.1"/>
    <n v="119.2"/>
    <n v="118.7"/>
    <n v="119.7"/>
    <n v="117.1"/>
    <n v="110.1"/>
    <n v="115.9"/>
    <n v="121"/>
    <n v="111.7"/>
    <n v="115.1"/>
    <n v="120.7"/>
    <x v="0"/>
    <m/>
    <m/>
    <m/>
    <m/>
  </r>
  <r>
    <s v="Rural"/>
    <x v="2"/>
    <x v="4"/>
    <n v="123.5"/>
    <n v="127.1"/>
    <n v="117.3"/>
    <n v="127.7"/>
    <n v="112.5"/>
    <n v="134.1"/>
    <n v="128.5"/>
    <n v="124.3"/>
    <n v="97.6"/>
    <n v="120.7"/>
    <n v="120.2"/>
    <n v="129.80000000000001"/>
    <m/>
    <n v="124.4"/>
    <n v="126.7"/>
    <n v="127.3"/>
    <n v="124.1"/>
    <n v="126.8"/>
    <s v="NA"/>
    <n v="121.9"/>
    <n v="121.5"/>
    <n v="119.4"/>
    <n v="113.3"/>
    <n v="116.7"/>
    <n v="120.5"/>
    <n v="112.3"/>
    <n v="116.9"/>
    <n v="122.4"/>
    <x v="0"/>
    <m/>
    <m/>
    <m/>
    <m/>
  </r>
  <r>
    <s v="Urban"/>
    <x v="2"/>
    <x v="4"/>
    <n v="123.8"/>
    <n v="129.69999999999999"/>
    <n v="111.3"/>
    <n v="126.6"/>
    <n v="105.2"/>
    <n v="130.80000000000001"/>
    <n v="135.6"/>
    <n v="142.6"/>
    <n v="90.8"/>
    <n v="128.80000000000001"/>
    <n v="117.7"/>
    <n v="129.9"/>
    <m/>
    <n v="126.1"/>
    <n v="131.30000000000001"/>
    <n v="122.4"/>
    <n v="117.4"/>
    <n v="121.6"/>
    <n v="119.6"/>
    <n v="114.9"/>
    <n v="118.7"/>
    <n v="114.9"/>
    <n v="110.8"/>
    <n v="116"/>
    <n v="122"/>
    <n v="112.4"/>
    <n v="115.2"/>
    <n v="120.7"/>
    <x v="0"/>
    <m/>
    <m/>
    <m/>
    <m/>
  </r>
  <r>
    <s v="Rural+Urban"/>
    <x v="2"/>
    <x v="4"/>
    <n v="123.6"/>
    <n v="128"/>
    <n v="115"/>
    <n v="127.3"/>
    <n v="109.8"/>
    <n v="132.6"/>
    <n v="130.9"/>
    <n v="130.5"/>
    <n v="95.3"/>
    <n v="123.4"/>
    <n v="119.2"/>
    <n v="129.80000000000001"/>
    <m/>
    <n v="125"/>
    <n v="127.9"/>
    <n v="125.4"/>
    <n v="121.3"/>
    <n v="124.7"/>
    <n v="119.6"/>
    <n v="119.2"/>
    <n v="120.2"/>
    <n v="117.7"/>
    <n v="112"/>
    <n v="116.3"/>
    <n v="121.4"/>
    <n v="112.3"/>
    <n v="116.1"/>
    <n v="121.6"/>
    <x v="0"/>
    <m/>
    <m/>
    <m/>
    <m/>
  </r>
  <r>
    <s v="Rural"/>
    <x v="2"/>
    <x v="5"/>
    <n v="124.1"/>
    <n v="130.4"/>
    <n v="122.1"/>
    <n v="128.69999999999999"/>
    <n v="114.1"/>
    <n v="133.19999999999999"/>
    <n v="135.19999999999999"/>
    <n v="131.9"/>
    <n v="96.3"/>
    <n v="123"/>
    <n v="121.1"/>
    <n v="131.19999999999999"/>
    <m/>
    <n v="126.6"/>
    <n v="128.19999999999999"/>
    <n v="128.4"/>
    <n v="125.1"/>
    <n v="128"/>
    <s v="NA"/>
    <n v="122.6"/>
    <n v="122.8"/>
    <n v="120.4"/>
    <n v="114.2"/>
    <n v="117.9"/>
    <n v="122"/>
    <n v="113"/>
    <n v="117.9"/>
    <n v="124.1"/>
    <x v="0"/>
    <m/>
    <m/>
    <m/>
    <m/>
  </r>
  <r>
    <s v="Urban"/>
    <x v="2"/>
    <x v="5"/>
    <n v="123.6"/>
    <n v="134.4"/>
    <n v="120.9"/>
    <n v="127.3"/>
    <n v="106"/>
    <n v="132.30000000000001"/>
    <n v="146.69999999999999"/>
    <n v="148.1"/>
    <n v="89.8"/>
    <n v="130.5"/>
    <n v="118"/>
    <n v="130.5"/>
    <m/>
    <n v="128.5"/>
    <n v="132.1"/>
    <n v="123.2"/>
    <n v="117.6"/>
    <n v="122.3"/>
    <n v="119"/>
    <n v="115.1"/>
    <n v="119.2"/>
    <n v="115.4"/>
    <n v="111.7"/>
    <n v="116.2"/>
    <n v="123.8"/>
    <n v="112.5"/>
    <n v="116"/>
    <n v="121.7"/>
    <x v="0"/>
    <m/>
    <m/>
    <m/>
    <m/>
  </r>
  <r>
    <s v="Rural+Urban"/>
    <x v="2"/>
    <x v="5"/>
    <n v="123.9"/>
    <n v="131.80000000000001"/>
    <n v="121.6"/>
    <n v="128.19999999999999"/>
    <n v="111.1"/>
    <n v="132.80000000000001"/>
    <n v="139.1"/>
    <n v="137.4"/>
    <n v="94.1"/>
    <n v="125.5"/>
    <n v="119.8"/>
    <n v="130.9"/>
    <m/>
    <n v="127.3"/>
    <n v="129.19999999999999"/>
    <n v="126.4"/>
    <n v="122"/>
    <n v="125.7"/>
    <n v="119"/>
    <n v="119.8"/>
    <n v="121.1"/>
    <n v="118.5"/>
    <n v="112.9"/>
    <n v="116.9"/>
    <n v="123.1"/>
    <n v="112.8"/>
    <n v="117"/>
    <n v="123"/>
    <x v="0"/>
    <m/>
    <m/>
    <m/>
    <m/>
  </r>
  <r>
    <s v="Rural"/>
    <x v="2"/>
    <x v="6"/>
    <n v="124"/>
    <n v="131.5"/>
    <n v="122"/>
    <n v="128.69999999999999"/>
    <n v="113.5"/>
    <n v="133.30000000000001"/>
    <n v="140.80000000000001"/>
    <n v="133.80000000000001"/>
    <n v="94.1"/>
    <n v="123.4"/>
    <n v="121"/>
    <n v="131.69999999999999"/>
    <m/>
    <n v="127.5"/>
    <n v="129.4"/>
    <n v="128.80000000000001"/>
    <n v="125.5"/>
    <n v="128.30000000000001"/>
    <s v="NA"/>
    <n v="123"/>
    <n v="123"/>
    <n v="120.8"/>
    <n v="114.1"/>
    <n v="118"/>
    <n v="122.9"/>
    <n v="112.7"/>
    <n v="118.1"/>
    <n v="124.7"/>
    <x v="0"/>
    <m/>
    <m/>
    <m/>
    <m/>
  </r>
  <r>
    <s v="Urban"/>
    <x v="2"/>
    <x v="6"/>
    <n v="123.2"/>
    <n v="134.30000000000001"/>
    <n v="119.5"/>
    <n v="127.7"/>
    <n v="106.3"/>
    <n v="132.80000000000001"/>
    <n v="153.5"/>
    <n v="149.5"/>
    <n v="85.7"/>
    <n v="131.5"/>
    <n v="118.3"/>
    <n v="131.1"/>
    <m/>
    <n v="129.5"/>
    <n v="133.1"/>
    <n v="123.5"/>
    <n v="117.9"/>
    <n v="122.7"/>
    <n v="119.9"/>
    <n v="115.3"/>
    <n v="119.5"/>
    <n v="116"/>
    <n v="111.5"/>
    <n v="116.6"/>
    <n v="125.4"/>
    <n v="111.7"/>
    <n v="116.3"/>
    <n v="122.4"/>
    <x v="0"/>
    <m/>
    <m/>
    <m/>
    <m/>
  </r>
  <r>
    <s v="Rural+Urban"/>
    <x v="2"/>
    <x v="6"/>
    <n v="123.7"/>
    <n v="132.5"/>
    <n v="121"/>
    <n v="128.30000000000001"/>
    <n v="110.9"/>
    <n v="133.1"/>
    <n v="145.1"/>
    <n v="139.1"/>
    <n v="91.3"/>
    <n v="126.1"/>
    <n v="119.9"/>
    <n v="131.4"/>
    <m/>
    <n v="128.19999999999999"/>
    <n v="130.4"/>
    <n v="126.7"/>
    <n v="122.3"/>
    <n v="126.1"/>
    <n v="119.9"/>
    <n v="120.1"/>
    <n v="121.3"/>
    <n v="119"/>
    <n v="112.7"/>
    <n v="117.2"/>
    <n v="124.4"/>
    <n v="112.3"/>
    <n v="117.2"/>
    <n v="123.6"/>
    <x v="0"/>
    <m/>
    <m/>
    <m/>
    <m/>
  </r>
  <r>
    <s v="Rural"/>
    <x v="2"/>
    <x v="7"/>
    <n v="124.7"/>
    <n v="131.30000000000001"/>
    <n v="121.3"/>
    <n v="128.80000000000001"/>
    <n v="114"/>
    <n v="134.19999999999999"/>
    <n v="153.6"/>
    <n v="137.9"/>
    <n v="93.1"/>
    <n v="123.9"/>
    <n v="121.5"/>
    <n v="132.5"/>
    <m/>
    <n v="129.80000000000001"/>
    <n v="130.1"/>
    <n v="129.5"/>
    <n v="126.3"/>
    <n v="129"/>
    <s v="NA"/>
    <n v="123.8"/>
    <n v="123.7"/>
    <n v="121.1"/>
    <n v="113.6"/>
    <n v="118.5"/>
    <n v="123.6"/>
    <n v="112.5"/>
    <n v="118.2"/>
    <n v="126.1"/>
    <x v="0"/>
    <m/>
    <m/>
    <m/>
    <m/>
  </r>
  <r>
    <s v="Urban"/>
    <x v="2"/>
    <x v="7"/>
    <n v="123.1"/>
    <n v="131.69999999999999"/>
    <n v="118.1"/>
    <n v="128"/>
    <n v="106.8"/>
    <n v="130.1"/>
    <n v="165.5"/>
    <n v="156"/>
    <n v="85.3"/>
    <n v="132.69999999999999"/>
    <n v="118.8"/>
    <n v="131.69999999999999"/>
    <m/>
    <n v="131.1"/>
    <n v="134.19999999999999"/>
    <n v="123.7"/>
    <n v="118.2"/>
    <n v="122.9"/>
    <n v="120.9"/>
    <n v="115.3"/>
    <n v="120"/>
    <n v="116.6"/>
    <n v="109.9"/>
    <n v="117.2"/>
    <n v="126.2"/>
    <n v="112"/>
    <n v="116.2"/>
    <n v="123.2"/>
    <x v="0"/>
    <m/>
    <m/>
    <m/>
    <m/>
  </r>
  <r>
    <s v="Rural+Urban"/>
    <x v="2"/>
    <x v="7"/>
    <n v="124.2"/>
    <n v="131.4"/>
    <n v="120.1"/>
    <n v="128.5"/>
    <n v="111.4"/>
    <n v="132.30000000000001"/>
    <n v="157.6"/>
    <n v="144"/>
    <n v="90.5"/>
    <n v="126.8"/>
    <n v="120.4"/>
    <n v="132.1"/>
    <m/>
    <n v="130.30000000000001"/>
    <n v="131.19999999999999"/>
    <n v="127.2"/>
    <n v="122.9"/>
    <n v="126.6"/>
    <n v="120.9"/>
    <n v="120.6"/>
    <n v="122"/>
    <n v="119.4"/>
    <n v="111.7"/>
    <n v="117.8"/>
    <n v="125.1"/>
    <n v="112.3"/>
    <n v="117.2"/>
    <n v="124.8"/>
    <x v="0"/>
    <m/>
    <m/>
    <m/>
    <m/>
  </r>
  <r>
    <s v="Rural"/>
    <x v="2"/>
    <x v="8"/>
    <n v="125.1"/>
    <n v="131.1"/>
    <n v="120.7"/>
    <n v="129.19999999999999"/>
    <n v="114.7"/>
    <n v="132.30000000000001"/>
    <n v="158.9"/>
    <n v="142.1"/>
    <n v="92.5"/>
    <n v="125.4"/>
    <n v="121.9"/>
    <n v="132.69999999999999"/>
    <m/>
    <n v="131"/>
    <n v="131"/>
    <n v="130.4"/>
    <n v="126.8"/>
    <n v="129.9"/>
    <s v="NA"/>
    <n v="123.7"/>
    <n v="124.5"/>
    <n v="121.4"/>
    <n v="113.8"/>
    <n v="119.6"/>
    <n v="124.5"/>
    <n v="113.7"/>
    <n v="118.8"/>
    <n v="127"/>
    <x v="0"/>
    <m/>
    <m/>
    <m/>
    <m/>
  </r>
  <r>
    <s v="Urban"/>
    <x v="2"/>
    <x v="8"/>
    <n v="123.4"/>
    <n v="129"/>
    <n v="115.6"/>
    <n v="128.30000000000001"/>
    <n v="107"/>
    <n v="124"/>
    <n v="168.5"/>
    <n v="165.4"/>
    <n v="86.3"/>
    <n v="134.4"/>
    <n v="119.1"/>
    <n v="132.30000000000001"/>
    <m/>
    <n v="131.5"/>
    <n v="134.69999999999999"/>
    <n v="124"/>
    <n v="118.6"/>
    <n v="123.2"/>
    <n v="121.6"/>
    <n v="115.1"/>
    <n v="120.4"/>
    <n v="117.1"/>
    <n v="109.1"/>
    <n v="117.3"/>
    <n v="126.5"/>
    <n v="112.9"/>
    <n v="116.2"/>
    <n v="123.5"/>
    <x v="0"/>
    <m/>
    <m/>
    <m/>
    <m/>
  </r>
  <r>
    <s v="Rural+Urban"/>
    <x v="2"/>
    <x v="8"/>
    <n v="124.6"/>
    <n v="130.4"/>
    <n v="118.7"/>
    <n v="128.9"/>
    <n v="111.9"/>
    <n v="128.4"/>
    <n v="162.19999999999999"/>
    <n v="150"/>
    <n v="90.4"/>
    <n v="128.4"/>
    <n v="120.7"/>
    <n v="132.5"/>
    <m/>
    <n v="131.19999999999999"/>
    <n v="132"/>
    <n v="127.9"/>
    <n v="123.4"/>
    <n v="127.2"/>
    <n v="121.6"/>
    <n v="120.4"/>
    <n v="122.6"/>
    <n v="119.8"/>
    <n v="111.3"/>
    <n v="118.3"/>
    <n v="125.7"/>
    <n v="113.4"/>
    <n v="117.5"/>
    <n v="125.4"/>
    <x v="0"/>
    <m/>
    <m/>
    <m/>
    <m/>
  </r>
  <r>
    <s v="Rural"/>
    <x v="2"/>
    <x v="9"/>
    <n v="125.6"/>
    <n v="130.4"/>
    <n v="120.8"/>
    <n v="129.4"/>
    <n v="115.8"/>
    <n v="133.19999999999999"/>
    <n v="157.69999999999999"/>
    <n v="154.19999999999999"/>
    <n v="93.7"/>
    <n v="126.6"/>
    <n v="122.3"/>
    <n v="133.1"/>
    <m/>
    <n v="131.80000000000001"/>
    <n v="131.5"/>
    <n v="131.1"/>
    <n v="127.3"/>
    <n v="130.6"/>
    <s v="NA"/>
    <n v="124.4"/>
    <n v="125.1"/>
    <n v="122"/>
    <n v="113.8"/>
    <n v="120.1"/>
    <n v="125.1"/>
    <n v="114.2"/>
    <n v="119.2"/>
    <n v="127.7"/>
    <x v="0"/>
    <m/>
    <m/>
    <m/>
    <m/>
  </r>
  <r>
    <s v="Urban"/>
    <x v="2"/>
    <x v="9"/>
    <n v="123.6"/>
    <n v="128.6"/>
    <n v="115.9"/>
    <n v="128.5"/>
    <n v="109"/>
    <n v="124.1"/>
    <n v="165.8"/>
    <n v="187.2"/>
    <n v="89.4"/>
    <n v="135.80000000000001"/>
    <n v="119.4"/>
    <n v="132.9"/>
    <m/>
    <n v="132.6"/>
    <n v="135.30000000000001"/>
    <n v="124.4"/>
    <n v="118.8"/>
    <n v="123.6"/>
    <n v="122.4"/>
    <n v="114.9"/>
    <n v="120.7"/>
    <n v="117.7"/>
    <n v="109.3"/>
    <n v="117.7"/>
    <n v="126.5"/>
    <n v="113.5"/>
    <n v="116.5"/>
    <n v="124.2"/>
    <x v="0"/>
    <m/>
    <m/>
    <m/>
    <m/>
  </r>
  <r>
    <s v="Rural+Urban"/>
    <x v="2"/>
    <x v="9"/>
    <n v="125"/>
    <n v="129.80000000000001"/>
    <n v="118.9"/>
    <n v="129.1"/>
    <n v="113.3"/>
    <n v="129"/>
    <n v="160.4"/>
    <n v="165.3"/>
    <n v="92.3"/>
    <n v="129.69999999999999"/>
    <n v="121.1"/>
    <n v="133"/>
    <m/>
    <n v="132.1"/>
    <n v="132.5"/>
    <n v="128.5"/>
    <n v="123.8"/>
    <n v="127.8"/>
    <n v="122.4"/>
    <n v="120.8"/>
    <n v="123"/>
    <n v="120.4"/>
    <n v="111.4"/>
    <n v="118.7"/>
    <n v="125.9"/>
    <n v="113.9"/>
    <n v="117.9"/>
    <n v="126.1"/>
    <x v="0"/>
    <m/>
    <m/>
    <m/>
    <m/>
  </r>
  <r>
    <s v="Rural"/>
    <x v="2"/>
    <x v="11"/>
    <n v="126.1"/>
    <n v="130.6"/>
    <n v="121.7"/>
    <n v="129.5"/>
    <n v="117.8"/>
    <n v="132.1"/>
    <n v="155.19999999999999"/>
    <n v="160.80000000000001"/>
    <n v="94.5"/>
    <n v="128.30000000000001"/>
    <n v="123.1"/>
    <n v="134.19999999999999"/>
    <m/>
    <n v="132.4"/>
    <n v="132.19999999999999"/>
    <n v="132.1"/>
    <n v="128.19999999999999"/>
    <n v="131.5"/>
    <s v="NA"/>
    <n v="125.6"/>
    <n v="125.6"/>
    <n v="122.6"/>
    <n v="114"/>
    <n v="120.9"/>
    <n v="125.8"/>
    <n v="114.2"/>
    <n v="119.6"/>
    <n v="128.30000000000001"/>
    <x v="0"/>
    <m/>
    <m/>
    <m/>
    <m/>
  </r>
  <r>
    <s v="Urban"/>
    <x v="2"/>
    <x v="11"/>
    <n v="124"/>
    <n v="129.80000000000001"/>
    <n v="121.5"/>
    <n v="128.6"/>
    <n v="110"/>
    <n v="123.7"/>
    <n v="164.6"/>
    <n v="191.6"/>
    <n v="90.8"/>
    <n v="137.1"/>
    <n v="119.8"/>
    <n v="133.69999999999999"/>
    <m/>
    <n v="133.30000000000001"/>
    <n v="137.6"/>
    <n v="125"/>
    <n v="119.3"/>
    <n v="124.2"/>
    <n v="122.9"/>
    <n v="115.1"/>
    <n v="121"/>
    <n v="118.1"/>
    <n v="109.3"/>
    <n v="117.9"/>
    <n v="126.6"/>
    <n v="113.3"/>
    <n v="116.6"/>
    <n v="124.6"/>
    <x v="0"/>
    <m/>
    <m/>
    <m/>
    <m/>
  </r>
  <r>
    <s v="Rural+Urban"/>
    <x v="2"/>
    <x v="11"/>
    <n v="125.4"/>
    <n v="130.30000000000001"/>
    <n v="121.6"/>
    <n v="129.19999999999999"/>
    <n v="114.9"/>
    <n v="128.19999999999999"/>
    <n v="158.4"/>
    <n v="171.2"/>
    <n v="93.3"/>
    <n v="131.19999999999999"/>
    <n v="121.7"/>
    <n v="134"/>
    <m/>
    <n v="132.69999999999999"/>
    <n v="133.6"/>
    <n v="129.30000000000001"/>
    <n v="124.5"/>
    <n v="128.6"/>
    <n v="122.9"/>
    <n v="121.6"/>
    <n v="123.4"/>
    <n v="120.9"/>
    <n v="111.5"/>
    <n v="119.2"/>
    <n v="126.3"/>
    <n v="113.8"/>
    <n v="118.1"/>
    <n v="126.6"/>
    <x v="0"/>
    <m/>
    <m/>
    <m/>
    <m/>
  </r>
  <r>
    <s v="Rural"/>
    <x v="2"/>
    <x v="12"/>
    <n v="126.3"/>
    <n v="131.30000000000001"/>
    <n v="123.3"/>
    <n v="129.80000000000001"/>
    <n v="118.3"/>
    <n v="131.6"/>
    <n v="145.5"/>
    <n v="162.1"/>
    <n v="95.4"/>
    <n v="128.9"/>
    <n v="123.3"/>
    <n v="135.1"/>
    <m/>
    <n v="131.4"/>
    <n v="133.1"/>
    <n v="132.5"/>
    <n v="128.5"/>
    <n v="131.9"/>
    <s v="NA"/>
    <n v="125.7"/>
    <n v="126"/>
    <n v="123.1"/>
    <n v="114"/>
    <n v="121.6"/>
    <n v="125.6"/>
    <n v="114.1"/>
    <n v="119.8"/>
    <n v="127.9"/>
    <x v="0"/>
    <m/>
    <m/>
    <m/>
    <m/>
  </r>
  <r>
    <s v="Urban"/>
    <x v="2"/>
    <x v="12"/>
    <n v="124.3"/>
    <n v="131.69999999999999"/>
    <n v="127.1"/>
    <n v="128.6"/>
    <n v="110"/>
    <n v="120.8"/>
    <n v="149"/>
    <n v="190.1"/>
    <n v="92.7"/>
    <n v="138.6"/>
    <n v="120.2"/>
    <n v="134.19999999999999"/>
    <m/>
    <n v="131.5"/>
    <n v="138.19999999999999"/>
    <n v="125.4"/>
    <n v="119.5"/>
    <n v="124.5"/>
    <n v="122.4"/>
    <n v="116"/>
    <n v="121"/>
    <n v="118.6"/>
    <n v="109.3"/>
    <n v="118.1"/>
    <n v="126.6"/>
    <n v="113.2"/>
    <n v="116.7"/>
    <n v="124"/>
    <x v="0"/>
    <m/>
    <m/>
    <m/>
    <m/>
  </r>
  <r>
    <s v="Rural+Urban"/>
    <x v="2"/>
    <x v="12"/>
    <n v="125.7"/>
    <n v="131.4"/>
    <n v="124.8"/>
    <n v="129.4"/>
    <n v="115.3"/>
    <n v="126.6"/>
    <n v="146.69999999999999"/>
    <n v="171.5"/>
    <n v="94.5"/>
    <n v="132.1"/>
    <n v="122"/>
    <n v="134.69999999999999"/>
    <m/>
    <n v="131.4"/>
    <n v="134.5"/>
    <n v="129.69999999999999"/>
    <n v="124.8"/>
    <n v="129"/>
    <n v="122.4"/>
    <n v="122"/>
    <n v="123.6"/>
    <n v="121.4"/>
    <n v="111.5"/>
    <n v="119.6"/>
    <n v="126.2"/>
    <n v="113.7"/>
    <n v="118.3"/>
    <n v="126.1"/>
    <x v="0"/>
    <m/>
    <m/>
    <m/>
    <m/>
  </r>
  <r>
    <s v="Rural"/>
    <x v="3"/>
    <x v="0"/>
    <n v="126.8"/>
    <n v="133.19999999999999"/>
    <n v="126.5"/>
    <n v="130.30000000000001"/>
    <n v="118.9"/>
    <n v="131.6"/>
    <n v="140.1"/>
    <n v="163.80000000000001"/>
    <n v="97.7"/>
    <n v="129.6"/>
    <n v="124.3"/>
    <n v="135.9"/>
    <m/>
    <n v="131.4"/>
    <n v="133.6"/>
    <n v="133.19999999999999"/>
    <n v="128.9"/>
    <n v="132.6"/>
    <s v="NA"/>
    <n v="126.2"/>
    <n v="126.6"/>
    <n v="123.7"/>
    <n v="113.6"/>
    <n v="121.4"/>
    <n v="126.2"/>
    <n v="114.9"/>
    <n v="120.1"/>
    <n v="128.1"/>
    <x v="0"/>
    <m/>
    <m/>
    <m/>
    <m/>
  </r>
  <r>
    <s v="Urban"/>
    <x v="3"/>
    <x v="0"/>
    <n v="124.7"/>
    <n v="135.9"/>
    <n v="132"/>
    <n v="129.19999999999999"/>
    <n v="109.7"/>
    <n v="119"/>
    <n v="144.1"/>
    <n v="184.2"/>
    <n v="96.7"/>
    <n v="139.5"/>
    <n v="120.5"/>
    <n v="134.69999999999999"/>
    <m/>
    <n v="131.19999999999999"/>
    <n v="139.5"/>
    <n v="125.8"/>
    <n v="119.8"/>
    <n v="124.9"/>
    <n v="123.4"/>
    <n v="116.9"/>
    <n v="121.6"/>
    <n v="119.1"/>
    <n v="108.9"/>
    <n v="118.5"/>
    <n v="126.4"/>
    <n v="114"/>
    <n v="116.8"/>
    <n v="124.2"/>
    <x v="0"/>
    <m/>
    <m/>
    <m/>
    <m/>
  </r>
  <r>
    <s v="Rural+Urban"/>
    <x v="3"/>
    <x v="0"/>
    <n v="126.1"/>
    <n v="134.1"/>
    <n v="128.6"/>
    <n v="129.9"/>
    <n v="115.5"/>
    <n v="125.7"/>
    <n v="141.5"/>
    <n v="170.7"/>
    <n v="97.4"/>
    <n v="132.9"/>
    <n v="122.7"/>
    <n v="135.30000000000001"/>
    <m/>
    <n v="131.30000000000001"/>
    <n v="135.19999999999999"/>
    <n v="130.30000000000001"/>
    <n v="125.1"/>
    <n v="129.5"/>
    <n v="123.4"/>
    <n v="122.7"/>
    <n v="124.2"/>
    <n v="122"/>
    <n v="111.1"/>
    <n v="119.8"/>
    <n v="126.3"/>
    <n v="114.5"/>
    <n v="118.5"/>
    <n v="126.3"/>
    <x v="0"/>
    <m/>
    <m/>
    <m/>
    <m/>
  </r>
  <r>
    <s v="Rural"/>
    <x v="3"/>
    <x v="1"/>
    <n v="127.1"/>
    <n v="133.69999999999999"/>
    <n v="127.7"/>
    <n v="130.69999999999999"/>
    <n v="118.5"/>
    <n v="130.4"/>
    <n v="130.9"/>
    <n v="162.80000000000001"/>
    <n v="98.7"/>
    <n v="130.6"/>
    <n v="124.8"/>
    <n v="136.4"/>
    <m/>
    <n v="130.30000000000001"/>
    <n v="134.4"/>
    <n v="133.9"/>
    <n v="129.80000000000001"/>
    <n v="133.4"/>
    <s v="NA"/>
    <n v="127.5"/>
    <n v="127.1"/>
    <n v="124.3"/>
    <n v="113.9"/>
    <n v="122.3"/>
    <n v="127.1"/>
    <n v="116.8"/>
    <n v="120.9"/>
    <n v="127.9"/>
    <x v="0"/>
    <m/>
    <m/>
    <m/>
    <m/>
  </r>
  <r>
    <s v="Urban"/>
    <x v="3"/>
    <x v="1"/>
    <n v="124.8"/>
    <n v="135.1"/>
    <n v="130.30000000000001"/>
    <n v="129.6"/>
    <n v="108.4"/>
    <n v="118.6"/>
    <n v="129.19999999999999"/>
    <n v="176.4"/>
    <n v="99.1"/>
    <n v="139.69999999999999"/>
    <n v="120.6"/>
    <n v="135.19999999999999"/>
    <m/>
    <n v="129.1"/>
    <n v="140"/>
    <n v="126.2"/>
    <n v="120.1"/>
    <n v="125.3"/>
    <n v="124.4"/>
    <n v="116"/>
    <n v="121.8"/>
    <n v="119.5"/>
    <n v="109.1"/>
    <n v="118.8"/>
    <n v="126.3"/>
    <n v="116.2"/>
    <n v="117.2"/>
    <n v="123.8"/>
    <x v="0"/>
    <m/>
    <m/>
    <m/>
    <m/>
  </r>
  <r>
    <s v="Rural+Urban"/>
    <x v="3"/>
    <x v="1"/>
    <n v="126.4"/>
    <n v="134.19999999999999"/>
    <n v="128.69999999999999"/>
    <n v="130.30000000000001"/>
    <n v="114.8"/>
    <n v="124.9"/>
    <n v="130.30000000000001"/>
    <n v="167.4"/>
    <n v="98.8"/>
    <n v="133.6"/>
    <n v="123"/>
    <n v="135.80000000000001"/>
    <m/>
    <n v="129.9"/>
    <n v="135.9"/>
    <n v="130.9"/>
    <n v="125.8"/>
    <n v="130.19999999999999"/>
    <n v="124.4"/>
    <n v="123.1"/>
    <n v="124.6"/>
    <n v="122.5"/>
    <n v="111.4"/>
    <n v="120.3"/>
    <n v="126.6"/>
    <n v="116.6"/>
    <n v="119.1"/>
    <n v="126"/>
    <x v="0"/>
    <m/>
    <m/>
    <m/>
    <m/>
  </r>
  <r>
    <s v="Rural"/>
    <x v="3"/>
    <x v="2"/>
    <n v="127.3"/>
    <n v="134.4"/>
    <n v="125.1"/>
    <n v="130.5"/>
    <n v="118.3"/>
    <n v="131.69999999999999"/>
    <n v="130.69999999999999"/>
    <n v="161.19999999999999"/>
    <n v="100.4"/>
    <n v="130.80000000000001"/>
    <n v="124.9"/>
    <n v="137"/>
    <m/>
    <n v="130.4"/>
    <n v="135"/>
    <n v="134.4"/>
    <n v="130.19999999999999"/>
    <n v="133.80000000000001"/>
    <s v="NA"/>
    <n v="127"/>
    <n v="127.7"/>
    <n v="124.8"/>
    <n v="113.6"/>
    <n v="122.5"/>
    <n v="127.5"/>
    <n v="117.4"/>
    <n v="121.1"/>
    <n v="128"/>
    <x v="0"/>
    <m/>
    <m/>
    <m/>
    <m/>
  </r>
  <r>
    <s v="Urban"/>
    <x v="3"/>
    <x v="2"/>
    <n v="124.8"/>
    <n v="136.30000000000001"/>
    <n v="123.7"/>
    <n v="129.69999999999999"/>
    <n v="107.9"/>
    <n v="119.9"/>
    <n v="128.1"/>
    <n v="170.3"/>
    <n v="101.8"/>
    <n v="140.1"/>
    <n v="120.7"/>
    <n v="135.4"/>
    <m/>
    <n v="128.9"/>
    <n v="140.6"/>
    <n v="126.4"/>
    <n v="120.3"/>
    <n v="125.5"/>
    <n v="124.9"/>
    <n v="114.8"/>
    <n v="122.3"/>
    <n v="119.7"/>
    <n v="108.5"/>
    <n v="119.1"/>
    <n v="126.4"/>
    <n v="117.1"/>
    <n v="117.3"/>
    <n v="123.8"/>
    <x v="0"/>
    <m/>
    <m/>
    <m/>
    <m/>
  </r>
  <r>
    <s v="Rural+Urban"/>
    <x v="3"/>
    <x v="2"/>
    <n v="126.5"/>
    <n v="135.1"/>
    <n v="124.6"/>
    <n v="130.19999999999999"/>
    <n v="114.5"/>
    <n v="126.2"/>
    <n v="129.80000000000001"/>
    <n v="164.3"/>
    <n v="100.9"/>
    <n v="133.9"/>
    <n v="123.1"/>
    <n v="136.30000000000001"/>
    <m/>
    <n v="129.80000000000001"/>
    <n v="136.5"/>
    <n v="131.30000000000001"/>
    <n v="126.1"/>
    <n v="130.5"/>
    <n v="124.9"/>
    <n v="122.4"/>
    <n v="125.1"/>
    <n v="122.9"/>
    <n v="110.9"/>
    <n v="120.6"/>
    <n v="126.9"/>
    <n v="117.3"/>
    <n v="119.3"/>
    <n v="126"/>
    <x v="0"/>
    <m/>
    <m/>
    <m/>
    <m/>
  </r>
  <r>
    <s v="Rural"/>
    <x v="3"/>
    <x v="3"/>
    <n v="127.4"/>
    <n v="135.4"/>
    <n v="123.4"/>
    <n v="131.30000000000001"/>
    <n v="118.2"/>
    <n v="138.1"/>
    <n v="134.1"/>
    <n v="162.69999999999999"/>
    <n v="105"/>
    <n v="131.4"/>
    <n v="125.4"/>
    <n v="137.4"/>
    <m/>
    <n v="131.80000000000001"/>
    <n v="135.5"/>
    <n v="135"/>
    <n v="130.6"/>
    <n v="134.4"/>
    <s v="NA"/>
    <n v="127"/>
    <n v="128"/>
    <n v="125.2"/>
    <n v="114.4"/>
    <n v="123.2"/>
    <n v="127.9"/>
    <n v="118.4"/>
    <n v="121.7"/>
    <n v="129"/>
    <x v="0"/>
    <m/>
    <m/>
    <m/>
    <m/>
  </r>
  <r>
    <s v="Urban"/>
    <x v="3"/>
    <x v="3"/>
    <n v="124.9"/>
    <n v="139.30000000000001"/>
    <n v="119.9"/>
    <n v="130.19999999999999"/>
    <n v="108.9"/>
    <n v="131.1"/>
    <n v="136.80000000000001"/>
    <n v="176.9"/>
    <n v="109.1"/>
    <n v="140.4"/>
    <n v="121.1"/>
    <n v="135.9"/>
    <m/>
    <n v="131.80000000000001"/>
    <n v="141.5"/>
    <n v="126.8"/>
    <n v="120.5"/>
    <n v="125.8"/>
    <n v="125.6"/>
    <n v="114.6"/>
    <n v="122.8"/>
    <n v="120"/>
    <n v="110"/>
    <n v="119.5"/>
    <n v="127.6"/>
    <n v="117.6"/>
    <n v="118.2"/>
    <n v="125.3"/>
    <x v="0"/>
    <m/>
    <m/>
    <m/>
    <m/>
  </r>
  <r>
    <s v="Rural+Urban"/>
    <x v="3"/>
    <x v="3"/>
    <n v="126.6"/>
    <n v="136.80000000000001"/>
    <n v="122"/>
    <n v="130.9"/>
    <n v="114.8"/>
    <n v="134.80000000000001"/>
    <n v="135"/>
    <n v="167.5"/>
    <n v="106.4"/>
    <n v="134.4"/>
    <n v="123.6"/>
    <n v="136.69999999999999"/>
    <m/>
    <n v="131.80000000000001"/>
    <n v="137.1"/>
    <n v="131.80000000000001"/>
    <n v="126.4"/>
    <n v="131"/>
    <n v="125.6"/>
    <n v="122.3"/>
    <n v="125.5"/>
    <n v="123.2"/>
    <n v="112.1"/>
    <n v="121.1"/>
    <n v="127.7"/>
    <n v="118.1"/>
    <n v="120"/>
    <n v="127.3"/>
    <x v="0"/>
    <m/>
    <m/>
    <m/>
    <m/>
  </r>
  <r>
    <s v="Rural"/>
    <x v="3"/>
    <x v="4"/>
    <n v="127.6"/>
    <n v="137.5"/>
    <n v="124.4"/>
    <n v="132.4"/>
    <n v="118.2"/>
    <n v="138.1"/>
    <n v="141.80000000000001"/>
    <n v="166"/>
    <n v="107.5"/>
    <n v="132.19999999999999"/>
    <n v="126.1"/>
    <n v="138.30000000000001"/>
    <m/>
    <n v="133.6"/>
    <n v="136"/>
    <n v="135.4"/>
    <n v="131.1"/>
    <n v="134.80000000000001"/>
    <s v="NA"/>
    <n v="127.4"/>
    <n v="128.5"/>
    <n v="125.8"/>
    <n v="115.1"/>
    <n v="123.6"/>
    <n v="129.1"/>
    <n v="119.7"/>
    <n v="122.5"/>
    <n v="130.30000000000001"/>
    <x v="0"/>
    <m/>
    <m/>
    <m/>
    <m/>
  </r>
  <r>
    <s v="Urban"/>
    <x v="3"/>
    <x v="4"/>
    <n v="125"/>
    <n v="142.1"/>
    <n v="127"/>
    <n v="130.4"/>
    <n v="109.6"/>
    <n v="133.5"/>
    <n v="151.4"/>
    <n v="182.8"/>
    <n v="111.1"/>
    <n v="141.5"/>
    <n v="121.5"/>
    <n v="136.30000000000001"/>
    <m/>
    <n v="134.6"/>
    <n v="142.19999999999999"/>
    <n v="127.2"/>
    <n v="120.7"/>
    <n v="126.2"/>
    <n v="126"/>
    <n v="115"/>
    <n v="123.2"/>
    <n v="120.3"/>
    <n v="110.7"/>
    <n v="119.8"/>
    <n v="128"/>
    <n v="118.5"/>
    <n v="118.7"/>
    <n v="126.6"/>
    <x v="0"/>
    <m/>
    <m/>
    <m/>
    <m/>
  </r>
  <r>
    <s v="Rural+Urban"/>
    <x v="3"/>
    <x v="4"/>
    <n v="126.8"/>
    <n v="139.1"/>
    <n v="125.4"/>
    <n v="131.69999999999999"/>
    <n v="115"/>
    <n v="136"/>
    <n v="145.1"/>
    <n v="171.7"/>
    <n v="108.7"/>
    <n v="135.30000000000001"/>
    <n v="124.2"/>
    <n v="137.4"/>
    <m/>
    <n v="134"/>
    <n v="137.69999999999999"/>
    <n v="132.19999999999999"/>
    <n v="126.8"/>
    <n v="131.4"/>
    <n v="126"/>
    <n v="122.7"/>
    <n v="126"/>
    <n v="123.7"/>
    <n v="112.8"/>
    <n v="121.5"/>
    <n v="128.5"/>
    <n v="119.2"/>
    <n v="120.7"/>
    <n v="128.6"/>
    <x v="0"/>
    <m/>
    <m/>
    <m/>
    <m/>
  </r>
  <r>
    <s v="Rural"/>
    <x v="3"/>
    <x v="5"/>
    <n v="128.6"/>
    <n v="138.6"/>
    <n v="126.6"/>
    <n v="133.6"/>
    <n v="118.6"/>
    <n v="137.4"/>
    <n v="152.5"/>
    <n v="169.2"/>
    <n v="108.8"/>
    <n v="133.1"/>
    <n v="126.4"/>
    <n v="139.19999999999999"/>
    <m/>
    <n v="136"/>
    <n v="137.19999999999999"/>
    <n v="136.30000000000001"/>
    <n v="131.6"/>
    <n v="135.6"/>
    <s v="NA"/>
    <n v="128"/>
    <n v="129.30000000000001"/>
    <n v="126.2"/>
    <n v="116.3"/>
    <n v="124.1"/>
    <n v="130.19999999999999"/>
    <n v="119.9"/>
    <n v="123.3"/>
    <n v="131.9"/>
    <x v="0"/>
    <m/>
    <m/>
    <m/>
    <m/>
  </r>
  <r>
    <s v="Urban"/>
    <x v="3"/>
    <x v="5"/>
    <n v="125.9"/>
    <n v="143.9"/>
    <n v="130.9"/>
    <n v="131"/>
    <n v="110.2"/>
    <n v="135.5"/>
    <n v="173.7"/>
    <n v="184.4"/>
    <n v="112"/>
    <n v="142.80000000000001"/>
    <n v="121.6"/>
    <n v="136.9"/>
    <m/>
    <n v="138.19999999999999"/>
    <n v="142.69999999999999"/>
    <n v="127.6"/>
    <n v="121.1"/>
    <n v="126.6"/>
    <n v="125.5"/>
    <n v="115.5"/>
    <n v="123.2"/>
    <n v="120.6"/>
    <n v="112.3"/>
    <n v="119.9"/>
    <n v="129.30000000000001"/>
    <n v="118.8"/>
    <n v="119.6"/>
    <n v="128.1"/>
    <x v="0"/>
    <m/>
    <m/>
    <m/>
    <m/>
  </r>
  <r>
    <s v="Rural+Urban"/>
    <x v="3"/>
    <x v="5"/>
    <n v="127.7"/>
    <n v="140.5"/>
    <n v="128.30000000000001"/>
    <n v="132.6"/>
    <n v="115.5"/>
    <n v="136.5"/>
    <n v="159.69999999999999"/>
    <n v="174.3"/>
    <n v="109.9"/>
    <n v="136.30000000000001"/>
    <n v="124.4"/>
    <n v="138.1"/>
    <m/>
    <n v="136.80000000000001"/>
    <n v="138.69999999999999"/>
    <n v="132.9"/>
    <n v="127.2"/>
    <n v="132"/>
    <n v="125.5"/>
    <n v="123.3"/>
    <n v="126.4"/>
    <n v="124.1"/>
    <n v="114.2"/>
    <n v="121.7"/>
    <n v="129.69999999999999"/>
    <n v="119.4"/>
    <n v="121.5"/>
    <n v="130.1"/>
    <x v="0"/>
    <m/>
    <m/>
    <m/>
    <m/>
  </r>
  <r>
    <s v="Rural"/>
    <x v="3"/>
    <x v="6"/>
    <n v="129.30000000000001"/>
    <n v="139.5"/>
    <n v="129.6"/>
    <n v="134.5"/>
    <n v="119.5"/>
    <n v="138.5"/>
    <n v="158.19999999999999"/>
    <n v="171.8"/>
    <n v="110.3"/>
    <n v="134.30000000000001"/>
    <n v="127.3"/>
    <n v="139.9"/>
    <m/>
    <n v="137.6"/>
    <n v="138"/>
    <n v="137.19999999999999"/>
    <n v="132.19999999999999"/>
    <n v="136.5"/>
    <s v="NA"/>
    <n v="128.19999999999999"/>
    <n v="130"/>
    <n v="126.7"/>
    <n v="116.4"/>
    <n v="125.2"/>
    <n v="130.80000000000001"/>
    <n v="120.9"/>
    <n v="123.8"/>
    <n v="133"/>
    <x v="0"/>
    <m/>
    <m/>
    <m/>
    <m/>
  </r>
  <r>
    <s v="Urban"/>
    <x v="3"/>
    <x v="6"/>
    <n v="126.8"/>
    <n v="144.19999999999999"/>
    <n v="136.6"/>
    <n v="131.80000000000001"/>
    <n v="111"/>
    <n v="137"/>
    <n v="179.5"/>
    <n v="188.4"/>
    <n v="113.3"/>
    <n v="143.9"/>
    <n v="121.7"/>
    <n v="137.5"/>
    <m/>
    <n v="139.80000000000001"/>
    <n v="142.9"/>
    <n v="127.9"/>
    <n v="121.1"/>
    <n v="126.9"/>
    <n v="126.4"/>
    <n v="115.5"/>
    <n v="123.5"/>
    <n v="120.9"/>
    <n v="111.7"/>
    <n v="120.3"/>
    <n v="130.80000000000001"/>
    <n v="120"/>
    <n v="119.9"/>
    <n v="129"/>
    <x v="0"/>
    <m/>
    <m/>
    <m/>
    <m/>
  </r>
  <r>
    <s v="Rural+Urban"/>
    <x v="3"/>
    <x v="6"/>
    <n v="128.5"/>
    <n v="141.19999999999999"/>
    <n v="132.30000000000001"/>
    <n v="133.5"/>
    <n v="116.4"/>
    <n v="137.80000000000001"/>
    <n v="165.4"/>
    <n v="177.4"/>
    <n v="111.3"/>
    <n v="137.5"/>
    <n v="125"/>
    <n v="138.80000000000001"/>
    <m/>
    <n v="138.4"/>
    <n v="139.30000000000001"/>
    <n v="133.5"/>
    <n v="127.6"/>
    <n v="132.69999999999999"/>
    <n v="126.4"/>
    <n v="123.4"/>
    <n v="126.9"/>
    <n v="124.5"/>
    <n v="113.9"/>
    <n v="122.4"/>
    <n v="130.80000000000001"/>
    <n v="120.5"/>
    <n v="121.9"/>
    <n v="131.1"/>
    <x v="0"/>
    <m/>
    <m/>
    <m/>
    <m/>
  </r>
  <r>
    <s v="Rural"/>
    <x v="3"/>
    <x v="7"/>
    <n v="130.1"/>
    <n v="138.80000000000001"/>
    <n v="130.30000000000001"/>
    <n v="135.30000000000001"/>
    <n v="119.9"/>
    <n v="140.19999999999999"/>
    <n v="156.9"/>
    <n v="172.2"/>
    <n v="112.1"/>
    <n v="134.9"/>
    <n v="128.1"/>
    <n v="140.69999999999999"/>
    <m/>
    <n v="138"/>
    <n v="138.9"/>
    <n v="137.80000000000001"/>
    <n v="133"/>
    <n v="137.1"/>
    <s v="NA"/>
    <n v="129.1"/>
    <n v="130.6"/>
    <n v="127"/>
    <n v="116"/>
    <n v="125.5"/>
    <n v="131.9"/>
    <n v="122"/>
    <n v="124.2"/>
    <n v="133.5"/>
    <x v="0"/>
    <m/>
    <m/>
    <m/>
    <m/>
  </r>
  <r>
    <s v="Urban"/>
    <x v="3"/>
    <x v="7"/>
    <n v="127.6"/>
    <n v="140.30000000000001"/>
    <n v="133.69999999999999"/>
    <n v="132.19999999999999"/>
    <n v="111.8"/>
    <n v="135.80000000000001"/>
    <n v="163.5"/>
    <n v="182.3"/>
    <n v="114.6"/>
    <n v="144.6"/>
    <n v="121.9"/>
    <n v="138.1"/>
    <m/>
    <n v="137.6"/>
    <n v="143.6"/>
    <n v="128.30000000000001"/>
    <n v="121.4"/>
    <n v="127.3"/>
    <n v="127.3"/>
    <n v="114.7"/>
    <n v="123.9"/>
    <n v="121.2"/>
    <n v="110.4"/>
    <n v="120.6"/>
    <n v="131.5"/>
    <n v="120.9"/>
    <n v="119.9"/>
    <n v="128.4"/>
    <x v="0"/>
    <m/>
    <m/>
    <m/>
    <m/>
  </r>
  <r>
    <s v="Rural+Urban"/>
    <x v="3"/>
    <x v="7"/>
    <n v="129.30000000000001"/>
    <n v="139.30000000000001"/>
    <n v="131.6"/>
    <n v="134.1"/>
    <n v="116.9"/>
    <n v="138.1"/>
    <n v="159.1"/>
    <n v="175.6"/>
    <n v="112.9"/>
    <n v="138.1"/>
    <n v="125.5"/>
    <n v="139.5"/>
    <m/>
    <n v="137.9"/>
    <n v="140.19999999999999"/>
    <n v="134.1"/>
    <n v="128.19999999999999"/>
    <n v="133.19999999999999"/>
    <n v="127.3"/>
    <n v="123.6"/>
    <n v="127.4"/>
    <n v="124.8"/>
    <n v="113.1"/>
    <n v="122.7"/>
    <n v="131.69999999999999"/>
    <n v="121.5"/>
    <n v="122.1"/>
    <n v="131.1"/>
    <x v="0"/>
    <m/>
    <m/>
    <m/>
    <m/>
  </r>
  <r>
    <s v="Rural"/>
    <x v="3"/>
    <x v="8"/>
    <n v="130.80000000000001"/>
    <n v="138.19999999999999"/>
    <n v="130.5"/>
    <n v="135.5"/>
    <n v="120.2"/>
    <n v="139.19999999999999"/>
    <n v="149.5"/>
    <n v="170.4"/>
    <n v="113.1"/>
    <n v="135.80000000000001"/>
    <n v="128.80000000000001"/>
    <n v="141.5"/>
    <m/>
    <n v="137.19999999999999"/>
    <n v="139.9"/>
    <n v="138.5"/>
    <n v="133.5"/>
    <n v="137.80000000000001"/>
    <s v="NA"/>
    <n v="129.69999999999999"/>
    <n v="131.1"/>
    <n v="127.8"/>
    <n v="117"/>
    <n v="125.7"/>
    <n v="132.19999999999999"/>
    <n v="122.8"/>
    <n v="124.9"/>
    <n v="133.4"/>
    <x v="0"/>
    <m/>
    <m/>
    <m/>
    <m/>
  </r>
  <r>
    <s v="Urban"/>
    <x v="3"/>
    <x v="8"/>
    <n v="128.1"/>
    <n v="137.69999999999999"/>
    <n v="130.6"/>
    <n v="132.6"/>
    <n v="111.9"/>
    <n v="132.5"/>
    <n v="152.9"/>
    <n v="173.6"/>
    <n v="115.1"/>
    <n v="144.80000000000001"/>
    <n v="122.1"/>
    <n v="138.80000000000001"/>
    <m/>
    <n v="135.69999999999999"/>
    <n v="143.9"/>
    <n v="128.69999999999999"/>
    <n v="121.6"/>
    <n v="127.7"/>
    <n v="127.9"/>
    <n v="114.8"/>
    <n v="124.3"/>
    <n v="121.4"/>
    <n v="111.8"/>
    <n v="120.8"/>
    <n v="131.6"/>
    <n v="121.2"/>
    <n v="120.5"/>
    <n v="128"/>
    <x v="0"/>
    <m/>
    <m/>
    <m/>
    <m/>
  </r>
  <r>
    <s v="Rural+Urban"/>
    <x v="3"/>
    <x v="8"/>
    <n v="129.9"/>
    <n v="138"/>
    <n v="130.5"/>
    <n v="134.4"/>
    <n v="117.2"/>
    <n v="136.1"/>
    <n v="150.69999999999999"/>
    <n v="171.5"/>
    <n v="113.8"/>
    <n v="138.80000000000001"/>
    <n v="126"/>
    <n v="140.19999999999999"/>
    <m/>
    <n v="136.6"/>
    <n v="141"/>
    <n v="134.6"/>
    <n v="128.6"/>
    <n v="133.80000000000001"/>
    <n v="127.9"/>
    <n v="124.1"/>
    <n v="127.9"/>
    <n v="125.4"/>
    <n v="114.3"/>
    <n v="122.9"/>
    <n v="131.80000000000001"/>
    <n v="122.1"/>
    <n v="122.8"/>
    <n v="130.9"/>
    <x v="0"/>
    <m/>
    <m/>
    <m/>
    <m/>
  </r>
  <r>
    <s v="Rural"/>
    <x v="3"/>
    <x v="9"/>
    <n v="131.30000000000001"/>
    <n v="137.6"/>
    <n v="130.1"/>
    <n v="136"/>
    <n v="120.8"/>
    <n v="138.4"/>
    <n v="149.19999999999999"/>
    <n v="170.2"/>
    <n v="113.4"/>
    <n v="136.30000000000001"/>
    <n v="128.69999999999999"/>
    <n v="142.4"/>
    <m/>
    <n v="137.4"/>
    <n v="140.9"/>
    <n v="139.6"/>
    <n v="134.30000000000001"/>
    <n v="138.80000000000001"/>
    <s v="NA"/>
    <n v="129.80000000000001"/>
    <n v="131.80000000000001"/>
    <n v="128.69999999999999"/>
    <n v="117.8"/>
    <n v="126.5"/>
    <n v="133"/>
    <n v="123"/>
    <n v="125.7"/>
    <n v="133.80000000000001"/>
    <x v="0"/>
    <m/>
    <m/>
    <m/>
    <m/>
  </r>
  <r>
    <s v="Urban"/>
    <x v="3"/>
    <x v="9"/>
    <n v="128.69999999999999"/>
    <n v="138.4"/>
    <n v="130.30000000000001"/>
    <n v="132.69999999999999"/>
    <n v="112.5"/>
    <n v="130.4"/>
    <n v="155.1"/>
    <n v="175.7"/>
    <n v="115.4"/>
    <n v="145.30000000000001"/>
    <n v="122.5"/>
    <n v="139.6"/>
    <m/>
    <n v="136.30000000000001"/>
    <n v="144.30000000000001"/>
    <n v="129.1"/>
    <n v="121.9"/>
    <n v="128"/>
    <n v="128.69999999999999"/>
    <n v="115.2"/>
    <n v="124.5"/>
    <n v="121.8"/>
    <n v="112.8"/>
    <n v="121.2"/>
    <n v="131.9"/>
    <n v="120.8"/>
    <n v="120.9"/>
    <n v="128.6"/>
    <x v="0"/>
    <m/>
    <m/>
    <m/>
    <m/>
  </r>
  <r>
    <s v="Rural+Urban"/>
    <x v="3"/>
    <x v="9"/>
    <n v="130.5"/>
    <n v="137.9"/>
    <n v="130.19999999999999"/>
    <n v="134.80000000000001"/>
    <n v="117.8"/>
    <n v="134.69999999999999"/>
    <n v="151.19999999999999"/>
    <n v="172.1"/>
    <n v="114.1"/>
    <n v="139.30000000000001"/>
    <n v="126.1"/>
    <n v="141.1"/>
    <m/>
    <n v="137"/>
    <n v="141.80000000000001"/>
    <n v="135.5"/>
    <n v="129.1"/>
    <n v="134.5"/>
    <n v="128.69999999999999"/>
    <n v="124.3"/>
    <n v="128.4"/>
    <n v="126.1"/>
    <n v="115.2"/>
    <n v="123.5"/>
    <n v="132.4"/>
    <n v="122.1"/>
    <n v="123.4"/>
    <n v="131.4"/>
    <x v="0"/>
    <m/>
    <m/>
    <m/>
    <m/>
  </r>
  <r>
    <s v="Rural"/>
    <x v="3"/>
    <x v="11"/>
    <n v="132"/>
    <n v="137.4"/>
    <n v="130.6"/>
    <n v="136.19999999999999"/>
    <n v="121.1"/>
    <n v="136.9"/>
    <n v="141.80000000000001"/>
    <n v="170"/>
    <n v="113.4"/>
    <n v="136.80000000000001"/>
    <n v="128.69999999999999"/>
    <n v="143.1"/>
    <m/>
    <n v="136.6"/>
    <n v="141.19999999999999"/>
    <n v="139.9"/>
    <n v="134.5"/>
    <n v="139.19999999999999"/>
    <s v="NA"/>
    <n v="130.30000000000001"/>
    <n v="132.1"/>
    <n v="129.1"/>
    <n v="118.2"/>
    <n v="126.9"/>
    <n v="133.69999999999999"/>
    <n v="123.5"/>
    <n v="126.1"/>
    <n v="133.6"/>
    <x v="0"/>
    <m/>
    <m/>
    <m/>
    <m/>
  </r>
  <r>
    <s v="Urban"/>
    <x v="3"/>
    <x v="11"/>
    <n v="130.19999999999999"/>
    <n v="138.5"/>
    <n v="134.1"/>
    <n v="132.9"/>
    <n v="112.6"/>
    <n v="130.80000000000001"/>
    <n v="142"/>
    <n v="174.9"/>
    <n v="115.6"/>
    <n v="145.4"/>
    <n v="122.7"/>
    <n v="140.30000000000001"/>
    <m/>
    <n v="135.19999999999999"/>
    <n v="144.30000000000001"/>
    <n v="129.6"/>
    <n v="122.1"/>
    <n v="128.5"/>
    <n v="129.1"/>
    <n v="116.2"/>
    <n v="124.7"/>
    <n v="122.1"/>
    <n v="113.4"/>
    <n v="121.7"/>
    <n v="132.1"/>
    <n v="121.3"/>
    <n v="121.3"/>
    <n v="128.5"/>
    <x v="0"/>
    <m/>
    <m/>
    <m/>
    <m/>
  </r>
  <r>
    <s v="Rural+Urban"/>
    <x v="3"/>
    <x v="11"/>
    <n v="131.4"/>
    <n v="137.80000000000001"/>
    <n v="132"/>
    <n v="135"/>
    <n v="118"/>
    <n v="134.1"/>
    <n v="141.9"/>
    <n v="171.7"/>
    <n v="114.1"/>
    <n v="139.69999999999999"/>
    <n v="126.2"/>
    <n v="141.80000000000001"/>
    <m/>
    <n v="136.1"/>
    <n v="142"/>
    <n v="135.80000000000001"/>
    <n v="129.30000000000001"/>
    <n v="135"/>
    <n v="129.1"/>
    <n v="125"/>
    <n v="128.6"/>
    <n v="126.4"/>
    <n v="115.7"/>
    <n v="124"/>
    <n v="132.80000000000001"/>
    <n v="122.6"/>
    <n v="123.8"/>
    <n v="131.19999999999999"/>
    <x v="0"/>
    <m/>
    <m/>
    <m/>
    <m/>
  </r>
  <r>
    <s v="Rural"/>
    <x v="3"/>
    <x v="12"/>
    <n v="132.6"/>
    <n v="137.30000000000001"/>
    <n v="131.6"/>
    <n v="136.30000000000001"/>
    <n v="121.6"/>
    <n v="135.6"/>
    <n v="127.5"/>
    <n v="167.9"/>
    <n v="113.8"/>
    <n v="137.5"/>
    <n v="129.1"/>
    <n v="143.6"/>
    <m/>
    <n v="134.69999999999999"/>
    <n v="142.4"/>
    <n v="140.4"/>
    <n v="135.19999999999999"/>
    <n v="139.69999999999999"/>
    <s v="NA"/>
    <n v="132"/>
    <n v="132.9"/>
    <n v="129.69999999999999"/>
    <n v="118.6"/>
    <n v="127.3"/>
    <n v="134.19999999999999"/>
    <n v="121.9"/>
    <n v="126.3"/>
    <n v="132.80000000000001"/>
    <x v="0"/>
    <m/>
    <m/>
    <m/>
    <m/>
  </r>
  <r>
    <s v="Urban"/>
    <x v="3"/>
    <x v="12"/>
    <n v="131.6"/>
    <n v="138.19999999999999"/>
    <n v="134.9"/>
    <n v="133.1"/>
    <n v="113.5"/>
    <n v="129.30000000000001"/>
    <n v="121.1"/>
    <n v="170.3"/>
    <n v="115.5"/>
    <n v="145.5"/>
    <n v="123.1"/>
    <n v="140.9"/>
    <m/>
    <n v="132.80000000000001"/>
    <n v="145"/>
    <n v="130"/>
    <n v="122.2"/>
    <n v="128.80000000000001"/>
    <n v="128.5"/>
    <n v="117.8"/>
    <n v="125"/>
    <n v="122.3"/>
    <n v="113.7"/>
    <n v="121.8"/>
    <n v="132.30000000000001"/>
    <n v="119.9"/>
    <n v="121.4"/>
    <n v="127.6"/>
    <x v="0"/>
    <m/>
    <m/>
    <m/>
    <m/>
  </r>
  <r>
    <s v="Rural+Urban"/>
    <x v="3"/>
    <x v="12"/>
    <n v="132.30000000000001"/>
    <n v="137.6"/>
    <n v="132.9"/>
    <n v="135.1"/>
    <n v="118.6"/>
    <n v="132.69999999999999"/>
    <n v="125.3"/>
    <n v="168.7"/>
    <n v="114.4"/>
    <n v="140.19999999999999"/>
    <n v="126.6"/>
    <n v="142.30000000000001"/>
    <m/>
    <n v="134"/>
    <n v="143.1"/>
    <n v="136.30000000000001"/>
    <n v="129.80000000000001"/>
    <n v="135.4"/>
    <n v="128.5"/>
    <n v="126.6"/>
    <n v="129.19999999999999"/>
    <n v="126.9"/>
    <n v="116"/>
    <n v="124.2"/>
    <n v="133.1"/>
    <n v="121.1"/>
    <n v="123.9"/>
    <n v="130.4"/>
    <x v="0"/>
    <m/>
    <m/>
    <m/>
    <m/>
  </r>
  <r>
    <s v="Rural"/>
    <x v="4"/>
    <x v="0"/>
    <n v="133.1"/>
    <n v="137.80000000000001"/>
    <n v="131.9"/>
    <n v="136.69999999999999"/>
    <n v="122"/>
    <n v="136"/>
    <n v="119.8"/>
    <n v="161.69999999999999"/>
    <n v="114.8"/>
    <n v="136.9"/>
    <n v="129"/>
    <n v="143.9"/>
    <m/>
    <n v="133.69999999999999"/>
    <n v="143.1"/>
    <n v="140.69999999999999"/>
    <n v="135.80000000000001"/>
    <n v="140"/>
    <s v="NA"/>
    <n v="132.1"/>
    <n v="133.19999999999999"/>
    <n v="129.9"/>
    <n v="119.1"/>
    <n v="127"/>
    <n v="134.6"/>
    <n v="122.3"/>
    <n v="126.6"/>
    <n v="132.4"/>
    <x v="0"/>
    <m/>
    <m/>
    <m/>
    <m/>
  </r>
  <r>
    <s v="Urban"/>
    <x v="4"/>
    <x v="0"/>
    <n v="132.19999999999999"/>
    <n v="138.9"/>
    <n v="132.6"/>
    <n v="133.1"/>
    <n v="114"/>
    <n v="129.6"/>
    <n v="118.7"/>
    <n v="155.1"/>
    <n v="117.3"/>
    <n v="144.9"/>
    <n v="123.2"/>
    <n v="141.6"/>
    <m/>
    <n v="132"/>
    <n v="145.6"/>
    <n v="130.19999999999999"/>
    <n v="122.3"/>
    <n v="129"/>
    <n v="129.6"/>
    <n v="118"/>
    <n v="125.1"/>
    <n v="122.6"/>
    <n v="115.2"/>
    <n v="122"/>
    <n v="132.4"/>
    <n v="120.9"/>
    <n v="122.1"/>
    <n v="127.8"/>
    <x v="0"/>
    <m/>
    <m/>
    <m/>
    <m/>
  </r>
  <r>
    <s v="Rural+Urban"/>
    <x v="4"/>
    <x v="0"/>
    <n v="132.80000000000001"/>
    <n v="138.19999999999999"/>
    <n v="132.19999999999999"/>
    <n v="135.4"/>
    <n v="119.1"/>
    <n v="133"/>
    <n v="119.4"/>
    <n v="159.5"/>
    <n v="115.6"/>
    <n v="139.6"/>
    <n v="126.6"/>
    <n v="142.80000000000001"/>
    <s v="Before COVID"/>
    <n v="133.1"/>
    <n v="143.80000000000001"/>
    <n v="136.6"/>
    <n v="130.19999999999999"/>
    <n v="135.6"/>
    <n v="129.6"/>
    <n v="126.8"/>
    <n v="129.4"/>
    <n v="127.1"/>
    <n v="117"/>
    <n v="124.2"/>
    <n v="133.30000000000001"/>
    <n v="121.7"/>
    <n v="124.4"/>
    <n v="130.30000000000001"/>
    <x v="0"/>
    <m/>
    <m/>
    <m/>
    <m/>
  </r>
  <r>
    <s v="Rural"/>
    <x v="4"/>
    <x v="1"/>
    <n v="133.30000000000001"/>
    <n v="138.30000000000001"/>
    <n v="129.30000000000001"/>
    <n v="137.19999999999999"/>
    <n v="122.1"/>
    <n v="138.69999999999999"/>
    <n v="119.1"/>
    <n v="156.9"/>
    <n v="116.2"/>
    <n v="136"/>
    <n v="129.4"/>
    <n v="144.4"/>
    <m/>
    <n v="133.6"/>
    <n v="143.69999999999999"/>
    <n v="140.9"/>
    <n v="135.80000000000001"/>
    <n v="140.19999999999999"/>
    <s v="NA"/>
    <n v="133.19999999999999"/>
    <n v="133.6"/>
    <n v="130.1"/>
    <n v="119.5"/>
    <n v="127.7"/>
    <n v="134.9"/>
    <n v="123.2"/>
    <n v="127"/>
    <n v="132.6"/>
    <x v="0"/>
    <m/>
    <m/>
    <m/>
    <m/>
  </r>
  <r>
    <s v="Urban"/>
    <x v="4"/>
    <x v="1"/>
    <n v="132.80000000000001"/>
    <n v="139.80000000000001"/>
    <n v="129.30000000000001"/>
    <n v="133.5"/>
    <n v="114.3"/>
    <n v="131.4"/>
    <n v="120.2"/>
    <n v="143.1"/>
    <n v="119.5"/>
    <n v="144"/>
    <n v="123.4"/>
    <n v="141.9"/>
    <m/>
    <n v="132.1"/>
    <n v="146.30000000000001"/>
    <n v="130.5"/>
    <n v="122.5"/>
    <n v="129.30000000000001"/>
    <n v="130.5"/>
    <n v="119.2"/>
    <n v="125.3"/>
    <n v="122.9"/>
    <n v="115.5"/>
    <n v="122.2"/>
    <n v="132.4"/>
    <n v="121.7"/>
    <n v="122.4"/>
    <n v="128.19999999999999"/>
    <x v="0"/>
    <m/>
    <m/>
    <m/>
    <m/>
  </r>
  <r>
    <s v="Rural+Urban"/>
    <x v="4"/>
    <x v="1"/>
    <n v="133.1"/>
    <n v="138.80000000000001"/>
    <n v="129.30000000000001"/>
    <n v="135.80000000000001"/>
    <n v="119.2"/>
    <n v="135.30000000000001"/>
    <n v="119.5"/>
    <n v="152.19999999999999"/>
    <n v="117.3"/>
    <n v="138.69999999999999"/>
    <n v="126.9"/>
    <n v="143.19999999999999"/>
    <s v="Before COVID"/>
    <n v="133"/>
    <n v="144.4"/>
    <n v="136.80000000000001"/>
    <n v="130.30000000000001"/>
    <n v="135.9"/>
    <n v="130.5"/>
    <n v="127.9"/>
    <n v="129.69999999999999"/>
    <n v="127.4"/>
    <n v="117.4"/>
    <n v="124.6"/>
    <n v="133.4"/>
    <n v="122.6"/>
    <n v="124.8"/>
    <n v="130.6"/>
    <x v="0"/>
    <m/>
    <m/>
    <m/>
    <m/>
  </r>
  <r>
    <s v="Rural"/>
    <x v="4"/>
    <x v="2"/>
    <n v="133.6"/>
    <n v="138.80000000000001"/>
    <n v="128.80000000000001"/>
    <n v="137.19999999999999"/>
    <n v="121.6"/>
    <n v="139.69999999999999"/>
    <n v="119.7"/>
    <n v="148"/>
    <n v="116.9"/>
    <n v="135.6"/>
    <n v="129.80000000000001"/>
    <n v="145.4"/>
    <m/>
    <n v="133.4"/>
    <n v="144.19999999999999"/>
    <n v="141.6"/>
    <n v="136.19999999999999"/>
    <n v="140.80000000000001"/>
    <s v="NA"/>
    <n v="134.19999999999999"/>
    <n v="134.1"/>
    <n v="130.6"/>
    <n v="119.8"/>
    <n v="128.30000000000001"/>
    <n v="135.19999999999999"/>
    <n v="123.3"/>
    <n v="127.4"/>
    <n v="132.80000000000001"/>
    <x v="0"/>
    <m/>
    <m/>
    <m/>
    <m/>
  </r>
  <r>
    <s v="Urban"/>
    <x v="4"/>
    <x v="2"/>
    <n v="132.69999999999999"/>
    <n v="139.4"/>
    <n v="128.4"/>
    <n v="134.9"/>
    <n v="114"/>
    <n v="136.80000000000001"/>
    <n v="122.2"/>
    <n v="135.80000000000001"/>
    <n v="120.3"/>
    <n v="142.6"/>
    <n v="123.6"/>
    <n v="142.4"/>
    <m/>
    <n v="132.6"/>
    <n v="147.5"/>
    <n v="130.80000000000001"/>
    <n v="122.8"/>
    <n v="129.6"/>
    <n v="131.1"/>
    <n v="120.8"/>
    <n v="125.6"/>
    <n v="123.1"/>
    <n v="115.6"/>
    <n v="122.4"/>
    <n v="132.80000000000001"/>
    <n v="121.7"/>
    <n v="122.6"/>
    <n v="128.69999999999999"/>
    <x v="0"/>
    <m/>
    <m/>
    <m/>
    <m/>
  </r>
  <r>
    <s v="Rural+Urban"/>
    <x v="4"/>
    <x v="2"/>
    <n v="133.30000000000001"/>
    <n v="139"/>
    <n v="128.6"/>
    <n v="136.30000000000001"/>
    <n v="118.8"/>
    <n v="138.30000000000001"/>
    <n v="120.5"/>
    <n v="143.9"/>
    <n v="118"/>
    <n v="137.9"/>
    <n v="127.2"/>
    <n v="144"/>
    <s v="Before COVID"/>
    <n v="133.1"/>
    <n v="145.1"/>
    <n v="137.30000000000001"/>
    <n v="130.6"/>
    <n v="136.4"/>
    <n v="131.1"/>
    <n v="129.1"/>
    <n v="130.1"/>
    <n v="127.8"/>
    <n v="117.6"/>
    <n v="125"/>
    <n v="133.80000000000001"/>
    <n v="122.6"/>
    <n v="125.1"/>
    <n v="130.9"/>
    <x v="0"/>
    <m/>
    <m/>
    <m/>
    <m/>
  </r>
  <r>
    <s v="Rural"/>
    <x v="4"/>
    <x v="3"/>
    <n v="133.19999999999999"/>
    <n v="138.69999999999999"/>
    <n v="127.1"/>
    <n v="137.69999999999999"/>
    <n v="121.3"/>
    <n v="141.80000000000001"/>
    <n v="121.5"/>
    <n v="144.5"/>
    <n v="117.4"/>
    <n v="134.1"/>
    <n v="130"/>
    <n v="145.5"/>
    <m/>
    <n v="133.5"/>
    <n v="144.4"/>
    <n v="142.4"/>
    <n v="136.80000000000001"/>
    <n v="141.6"/>
    <s v="NA"/>
    <n v="135"/>
    <n v="134.30000000000001"/>
    <n v="131"/>
    <n v="119.2"/>
    <n v="128.30000000000001"/>
    <n v="135.69999999999999"/>
    <n v="123.7"/>
    <n v="127.5"/>
    <n v="132.9"/>
    <x v="0"/>
    <m/>
    <m/>
    <m/>
    <m/>
  </r>
  <r>
    <s v="Urban"/>
    <x v="4"/>
    <x v="3"/>
    <n v="132.69999999999999"/>
    <n v="140.6"/>
    <n v="124.5"/>
    <n v="136.30000000000001"/>
    <n v="113.5"/>
    <n v="137.69999999999999"/>
    <n v="127.1"/>
    <n v="133.80000000000001"/>
    <n v="120.8"/>
    <n v="141.30000000000001"/>
    <n v="123.8"/>
    <n v="142.6"/>
    <m/>
    <n v="133.4"/>
    <n v="148"/>
    <n v="131.19999999999999"/>
    <n v="123"/>
    <n v="130"/>
    <n v="131.69999999999999"/>
    <n v="121.4"/>
    <n v="126"/>
    <n v="123.4"/>
    <n v="114.3"/>
    <n v="122.6"/>
    <n v="133.6"/>
    <n v="122.2"/>
    <n v="122.5"/>
    <n v="129.1"/>
    <x v="0"/>
    <m/>
    <m/>
    <m/>
    <m/>
  </r>
  <r>
    <s v="Rural+Urban"/>
    <x v="4"/>
    <x v="3"/>
    <n v="133"/>
    <n v="139.4"/>
    <n v="126.1"/>
    <n v="137.19999999999999"/>
    <n v="118.4"/>
    <n v="139.9"/>
    <n v="123.4"/>
    <n v="140.9"/>
    <n v="118.5"/>
    <n v="136.5"/>
    <n v="127.4"/>
    <n v="144.19999999999999"/>
    <s v="Before COVID"/>
    <n v="133.5"/>
    <n v="145.4"/>
    <n v="138"/>
    <n v="131.1"/>
    <n v="137"/>
    <n v="131.69999999999999"/>
    <n v="129.80000000000001"/>
    <n v="130.4"/>
    <n v="128.1"/>
    <n v="116.6"/>
    <n v="125.1"/>
    <n v="134.5"/>
    <n v="123.1"/>
    <n v="125.1"/>
    <n v="131.1"/>
    <x v="0"/>
    <m/>
    <m/>
    <m/>
    <m/>
  </r>
  <r>
    <s v="Rural"/>
    <x v="4"/>
    <x v="4"/>
    <n v="133.1"/>
    <n v="140.30000000000001"/>
    <n v="126.8"/>
    <n v="138.19999999999999"/>
    <n v="120.8"/>
    <n v="140.19999999999999"/>
    <n v="123.8"/>
    <n v="141.80000000000001"/>
    <n v="118.6"/>
    <n v="134"/>
    <n v="130.30000000000001"/>
    <n v="145.80000000000001"/>
    <m/>
    <n v="133.80000000000001"/>
    <n v="145.5"/>
    <n v="142.5"/>
    <n v="137.30000000000001"/>
    <n v="141.80000000000001"/>
    <s v="NA"/>
    <n v="135"/>
    <n v="134.9"/>
    <n v="131.4"/>
    <n v="119.4"/>
    <n v="129.4"/>
    <n v="136.30000000000001"/>
    <n v="123.7"/>
    <n v="127.9"/>
    <n v="133.30000000000001"/>
    <x v="0"/>
    <m/>
    <m/>
    <m/>
    <m/>
  </r>
  <r>
    <s v="Urban"/>
    <x v="4"/>
    <x v="4"/>
    <n v="132.6"/>
    <n v="144.1"/>
    <n v="125.6"/>
    <n v="136.80000000000001"/>
    <n v="113.4"/>
    <n v="135.19999999999999"/>
    <n v="129.19999999999999"/>
    <n v="131.5"/>
    <n v="121"/>
    <n v="139.9"/>
    <n v="123.8"/>
    <n v="142.9"/>
    <m/>
    <n v="133.6"/>
    <n v="148.30000000000001"/>
    <n v="131.5"/>
    <n v="123.2"/>
    <n v="130.19999999999999"/>
    <n v="132.1"/>
    <n v="120.1"/>
    <n v="126.5"/>
    <n v="123.6"/>
    <n v="114.3"/>
    <n v="122.8"/>
    <n v="133.80000000000001"/>
    <n v="122"/>
    <n v="122.6"/>
    <n v="129.30000000000001"/>
    <x v="0"/>
    <m/>
    <m/>
    <m/>
    <m/>
  </r>
  <r>
    <s v="Rural+Urban"/>
    <x v="4"/>
    <x v="4"/>
    <n v="132.9"/>
    <n v="141.6"/>
    <n v="126.3"/>
    <n v="137.69999999999999"/>
    <n v="118.1"/>
    <n v="137.9"/>
    <n v="125.6"/>
    <n v="138.30000000000001"/>
    <n v="119.4"/>
    <n v="136"/>
    <n v="127.6"/>
    <n v="144.5"/>
    <s v="Before COVID"/>
    <n v="133.69999999999999"/>
    <n v="146.19999999999999"/>
    <n v="138.19999999999999"/>
    <n v="131.4"/>
    <n v="137.19999999999999"/>
    <n v="132.1"/>
    <n v="129.4"/>
    <n v="130.9"/>
    <n v="128.4"/>
    <n v="116.7"/>
    <n v="125.7"/>
    <n v="134.80000000000001"/>
    <n v="123"/>
    <n v="125.3"/>
    <n v="131.4"/>
    <x v="0"/>
    <m/>
    <m/>
    <m/>
    <m/>
  </r>
  <r>
    <s v="Rural"/>
    <x v="4"/>
    <x v="5"/>
    <n v="133.5"/>
    <n v="143.69999999999999"/>
    <n v="128"/>
    <n v="138.6"/>
    <n v="120.9"/>
    <n v="140.9"/>
    <n v="128.80000000000001"/>
    <n v="140.19999999999999"/>
    <n v="118.9"/>
    <n v="133.5"/>
    <n v="130.4"/>
    <n v="146.5"/>
    <m/>
    <n v="134.9"/>
    <n v="145.80000000000001"/>
    <n v="143.1"/>
    <n v="137.69999999999999"/>
    <n v="142.30000000000001"/>
    <s v="NA"/>
    <n v="134.80000000000001"/>
    <n v="135.19999999999999"/>
    <n v="131.30000000000001"/>
    <n v="119.4"/>
    <n v="129.80000000000001"/>
    <n v="136.9"/>
    <n v="124.1"/>
    <n v="128.1"/>
    <n v="133.9"/>
    <x v="0"/>
    <m/>
    <m/>
    <m/>
    <m/>
  </r>
  <r>
    <s v="Urban"/>
    <x v="4"/>
    <x v="5"/>
    <n v="132.9"/>
    <n v="148.69999999999999"/>
    <n v="128.30000000000001"/>
    <n v="137.30000000000001"/>
    <n v="113.5"/>
    <n v="137.19999999999999"/>
    <n v="142.19999999999999"/>
    <n v="128.19999999999999"/>
    <n v="120.9"/>
    <n v="138.80000000000001"/>
    <n v="124.2"/>
    <n v="143.1"/>
    <m/>
    <n v="135.69999999999999"/>
    <n v="148.6"/>
    <n v="131.5"/>
    <n v="123.2"/>
    <n v="130.19999999999999"/>
    <n v="131.4"/>
    <n v="119"/>
    <n v="126.8"/>
    <n v="123.8"/>
    <n v="113.9"/>
    <n v="122.9"/>
    <n v="134.30000000000001"/>
    <n v="122.5"/>
    <n v="122.7"/>
    <n v="129.9"/>
    <x v="0"/>
    <m/>
    <m/>
    <m/>
    <m/>
  </r>
  <r>
    <s v="Rural+Urban"/>
    <x v="4"/>
    <x v="5"/>
    <n v="133.30000000000001"/>
    <n v="145.5"/>
    <n v="128.1"/>
    <n v="138.1"/>
    <n v="118.2"/>
    <n v="139.19999999999999"/>
    <n v="133.30000000000001"/>
    <n v="136.19999999999999"/>
    <n v="119.6"/>
    <n v="135.30000000000001"/>
    <n v="127.8"/>
    <n v="144.9"/>
    <s v="Before COVID"/>
    <n v="135.19999999999999"/>
    <n v="146.5"/>
    <n v="138.5"/>
    <n v="131.69999999999999"/>
    <n v="137.5"/>
    <n v="131.4"/>
    <n v="128.80000000000001"/>
    <n v="131.19999999999999"/>
    <n v="128.5"/>
    <n v="116.5"/>
    <n v="125.9"/>
    <n v="135.4"/>
    <n v="123.4"/>
    <n v="125.5"/>
    <n v="132"/>
    <x v="0"/>
    <m/>
    <m/>
    <m/>
    <m/>
  </r>
  <r>
    <s v="Rural"/>
    <x v="4"/>
    <x v="6"/>
    <n v="134"/>
    <n v="144.19999999999999"/>
    <n v="129.80000000000001"/>
    <n v="139"/>
    <n v="120.9"/>
    <n v="143.9"/>
    <n v="151.5"/>
    <n v="138.1"/>
    <n v="120"/>
    <n v="133.9"/>
    <n v="131.4"/>
    <n v="147.69999999999999"/>
    <m/>
    <n v="138.5"/>
    <n v="147.4"/>
    <n v="144.30000000000001"/>
    <n v="138.1"/>
    <n v="143.5"/>
    <s v="NA"/>
    <n v="135.30000000000001"/>
    <n v="136.1"/>
    <n v="132.1"/>
    <n v="119.1"/>
    <n v="130.6"/>
    <n v="138.6"/>
    <n v="124.4"/>
    <n v="128.6"/>
    <n v="136.19999999999999"/>
    <x v="0"/>
    <m/>
    <m/>
    <m/>
    <m/>
  </r>
  <r>
    <s v="Urban"/>
    <x v="4"/>
    <x v="6"/>
    <n v="132.80000000000001"/>
    <n v="148.4"/>
    <n v="129.4"/>
    <n v="137.69999999999999"/>
    <n v="113.4"/>
    <n v="139.4"/>
    <n v="175.1"/>
    <n v="124.7"/>
    <n v="121.5"/>
    <n v="137.80000000000001"/>
    <n v="124.4"/>
    <n v="143.69999999999999"/>
    <m/>
    <n v="139.80000000000001"/>
    <n v="150.5"/>
    <n v="131.6"/>
    <n v="123.7"/>
    <n v="130.4"/>
    <n v="132.6"/>
    <n v="119.7"/>
    <n v="127.2"/>
    <n v="125"/>
    <n v="113.2"/>
    <n v="123.5"/>
    <n v="135.5"/>
    <n v="122.4"/>
    <n v="123"/>
    <n v="131.80000000000001"/>
    <x v="0"/>
    <m/>
    <m/>
    <m/>
    <m/>
  </r>
  <r>
    <s v="Rural+Urban"/>
    <x v="4"/>
    <x v="6"/>
    <n v="133.6"/>
    <n v="145.69999999999999"/>
    <n v="129.6"/>
    <n v="138.5"/>
    <n v="118.1"/>
    <n v="141.80000000000001"/>
    <n v="159.5"/>
    <n v="133.6"/>
    <n v="120.5"/>
    <n v="135.19999999999999"/>
    <n v="128.5"/>
    <n v="145.80000000000001"/>
    <s v="Before COVID"/>
    <n v="139"/>
    <n v="148.19999999999999"/>
    <n v="139.30000000000001"/>
    <n v="132.1"/>
    <n v="138.30000000000001"/>
    <n v="132.6"/>
    <n v="129.4"/>
    <n v="131.9"/>
    <n v="129.4"/>
    <n v="116"/>
    <n v="126.6"/>
    <n v="136.80000000000001"/>
    <n v="123.6"/>
    <n v="125.9"/>
    <n v="134.19999999999999"/>
    <x v="0"/>
    <m/>
    <m/>
    <m/>
    <m/>
  </r>
  <r>
    <s v="Rural"/>
    <x v="4"/>
    <x v="7"/>
    <n v="134.80000000000001"/>
    <n v="143.1"/>
    <n v="130"/>
    <n v="139.4"/>
    <n v="120.5"/>
    <n v="148"/>
    <n v="162.9"/>
    <n v="137.4"/>
    <n v="120.8"/>
    <n v="134.69999999999999"/>
    <n v="131.6"/>
    <n v="148.69999999999999"/>
    <m/>
    <n v="140.6"/>
    <n v="149"/>
    <n v="145.30000000000001"/>
    <n v="139.19999999999999"/>
    <n v="144.5"/>
    <s v="NA"/>
    <n v="136.4"/>
    <n v="137.30000000000001"/>
    <n v="133"/>
    <n v="120.3"/>
    <n v="131.5"/>
    <n v="140.19999999999999"/>
    <n v="125.4"/>
    <n v="129.69999999999999"/>
    <n v="137.80000000000001"/>
    <x v="0"/>
    <m/>
    <m/>
    <m/>
    <m/>
  </r>
  <r>
    <s v="Urban"/>
    <x v="4"/>
    <x v="7"/>
    <n v="133.19999999999999"/>
    <n v="143.9"/>
    <n v="128.30000000000001"/>
    <n v="138.30000000000001"/>
    <n v="114.1"/>
    <n v="142.69999999999999"/>
    <n v="179.8"/>
    <n v="123.5"/>
    <n v="122.1"/>
    <n v="137.5"/>
    <n v="124.6"/>
    <n v="144.5"/>
    <m/>
    <n v="140.5"/>
    <n v="152.1"/>
    <n v="132.69999999999999"/>
    <n v="124.3"/>
    <n v="131.4"/>
    <n v="134.4"/>
    <n v="118.9"/>
    <n v="127.7"/>
    <n v="125.7"/>
    <n v="114.6"/>
    <n v="124.1"/>
    <n v="135.69999999999999"/>
    <n v="123.3"/>
    <n v="123.8"/>
    <n v="132.69999999999999"/>
    <x v="0"/>
    <m/>
    <m/>
    <m/>
    <m/>
  </r>
  <r>
    <s v="Rural+Urban"/>
    <x v="4"/>
    <x v="7"/>
    <n v="134.30000000000001"/>
    <n v="143.4"/>
    <n v="129.30000000000001"/>
    <n v="139"/>
    <n v="118.1"/>
    <n v="145.5"/>
    <n v="168.6"/>
    <n v="132.69999999999999"/>
    <n v="121.2"/>
    <n v="135.6"/>
    <n v="128.69999999999999"/>
    <n v="146.80000000000001"/>
    <s v="Before COVID"/>
    <n v="140.6"/>
    <n v="149.80000000000001"/>
    <n v="140.30000000000001"/>
    <n v="133"/>
    <n v="139.30000000000001"/>
    <n v="134.4"/>
    <n v="129.80000000000001"/>
    <n v="132.80000000000001"/>
    <n v="130.19999999999999"/>
    <n v="117.3"/>
    <n v="127.3"/>
    <n v="137.6"/>
    <n v="124.5"/>
    <n v="126.8"/>
    <n v="135.4"/>
    <x v="0"/>
    <m/>
    <m/>
    <m/>
    <m/>
  </r>
  <r>
    <s v="Rural"/>
    <x v="4"/>
    <x v="8"/>
    <n v="135.19999999999999"/>
    <n v="142"/>
    <n v="130.5"/>
    <n v="140.19999999999999"/>
    <n v="120.7"/>
    <n v="147.80000000000001"/>
    <n v="154.5"/>
    <n v="137.1"/>
    <n v="121"/>
    <n v="134.69999999999999"/>
    <n v="131.69999999999999"/>
    <n v="149.30000000000001"/>
    <m/>
    <n v="139.6"/>
    <n v="149.80000000000001"/>
    <n v="146.1"/>
    <n v="139.69999999999999"/>
    <n v="145.19999999999999"/>
    <s v="NA"/>
    <n v="137.4"/>
    <n v="137.9"/>
    <n v="133.4"/>
    <n v="121.2"/>
    <n v="132.30000000000001"/>
    <n v="139.6"/>
    <n v="126.7"/>
    <n v="130.30000000000001"/>
    <n v="137.6"/>
    <x v="0"/>
    <m/>
    <m/>
    <m/>
    <m/>
  </r>
  <r>
    <s v="Urban"/>
    <x v="4"/>
    <x v="8"/>
    <n v="133.6"/>
    <n v="143"/>
    <n v="129.69999999999999"/>
    <n v="138.69999999999999"/>
    <n v="114.5"/>
    <n v="137.5"/>
    <n v="160.69999999999999"/>
    <n v="124.5"/>
    <n v="122.4"/>
    <n v="137.30000000000001"/>
    <n v="124.8"/>
    <n v="145"/>
    <m/>
    <n v="138"/>
    <n v="153.6"/>
    <n v="133.30000000000001"/>
    <n v="124.6"/>
    <n v="132"/>
    <n v="135.69999999999999"/>
    <n v="120.6"/>
    <n v="128.1"/>
    <n v="126.1"/>
    <n v="115.7"/>
    <n v="124.5"/>
    <n v="135.9"/>
    <n v="124.4"/>
    <n v="124.5"/>
    <n v="132.4"/>
    <x v="0"/>
    <m/>
    <m/>
    <m/>
    <m/>
  </r>
  <r>
    <s v="Rural+Urban"/>
    <x v="4"/>
    <x v="8"/>
    <n v="134.69999999999999"/>
    <n v="142.4"/>
    <n v="130.19999999999999"/>
    <n v="139.6"/>
    <n v="118.4"/>
    <n v="143"/>
    <n v="156.6"/>
    <n v="132.9"/>
    <n v="121.5"/>
    <n v="135.6"/>
    <n v="128.80000000000001"/>
    <n v="147.30000000000001"/>
    <s v="Before COVID"/>
    <n v="139"/>
    <n v="150.80000000000001"/>
    <n v="141.1"/>
    <n v="133.4"/>
    <n v="140"/>
    <n v="135.69999999999999"/>
    <n v="131"/>
    <n v="133.30000000000001"/>
    <n v="130.6"/>
    <n v="118.3"/>
    <n v="127.9"/>
    <n v="137.4"/>
    <n v="125.7"/>
    <n v="127.5"/>
    <n v="135.19999999999999"/>
    <x v="0"/>
    <m/>
    <m/>
    <m/>
    <m/>
  </r>
  <r>
    <s v="Rural"/>
    <x v="4"/>
    <x v="9"/>
    <n v="135.9"/>
    <n v="141.9"/>
    <n v="131"/>
    <n v="141.5"/>
    <n v="121.4"/>
    <n v="146.69999999999999"/>
    <n v="157.1"/>
    <n v="136.4"/>
    <n v="121.4"/>
    <n v="135.6"/>
    <n v="131.30000000000001"/>
    <n v="150.30000000000001"/>
    <m/>
    <n v="140.4"/>
    <n v="150.5"/>
    <n v="147.19999999999999"/>
    <n v="140.6"/>
    <n v="146.19999999999999"/>
    <s v="NA"/>
    <n v="138.1"/>
    <n v="138.4"/>
    <n v="134.19999999999999"/>
    <n v="121"/>
    <n v="133"/>
    <n v="140.1"/>
    <n v="127.4"/>
    <n v="130.69999999999999"/>
    <n v="138.30000000000001"/>
    <x v="0"/>
    <m/>
    <m/>
    <m/>
    <m/>
  </r>
  <r>
    <s v="Urban"/>
    <x v="4"/>
    <x v="9"/>
    <n v="133.9"/>
    <n v="142.80000000000001"/>
    <n v="131.4"/>
    <n v="139.1"/>
    <n v="114.9"/>
    <n v="135.6"/>
    <n v="173.2"/>
    <n v="124.1"/>
    <n v="122.6"/>
    <n v="137.80000000000001"/>
    <n v="125.1"/>
    <n v="145.5"/>
    <m/>
    <n v="139.69999999999999"/>
    <n v="154.6"/>
    <n v="134"/>
    <n v="124.9"/>
    <n v="132.6"/>
    <n v="137.30000000000001"/>
    <n v="122.6"/>
    <n v="128.30000000000001"/>
    <n v="126.6"/>
    <n v="115"/>
    <n v="124.8"/>
    <n v="136.30000000000001"/>
    <n v="124.6"/>
    <n v="124.5"/>
    <n v="133.5"/>
    <x v="0"/>
    <m/>
    <m/>
    <m/>
    <m/>
  </r>
  <r>
    <s v="Rural+Urban"/>
    <x v="4"/>
    <x v="9"/>
    <n v="135.30000000000001"/>
    <n v="142.19999999999999"/>
    <n v="131.19999999999999"/>
    <n v="140.6"/>
    <n v="119"/>
    <n v="141.5"/>
    <n v="162.6"/>
    <n v="132.30000000000001"/>
    <n v="121.8"/>
    <n v="136.30000000000001"/>
    <n v="128.69999999999999"/>
    <n v="148.1"/>
    <s v="Before COVID"/>
    <n v="140.1"/>
    <n v="151.6"/>
    <n v="142"/>
    <n v="134.1"/>
    <n v="140.80000000000001"/>
    <n v="137.30000000000001"/>
    <n v="132.19999999999999"/>
    <n v="133.6"/>
    <n v="131.30000000000001"/>
    <n v="117.8"/>
    <n v="128.4"/>
    <n v="137.9"/>
    <n v="126.2"/>
    <n v="127.7"/>
    <n v="136.1"/>
    <x v="0"/>
    <m/>
    <m/>
    <m/>
    <m/>
  </r>
  <r>
    <s v="Rural"/>
    <x v="4"/>
    <x v="11"/>
    <n v="136.30000000000001"/>
    <n v="142.5"/>
    <n v="140.5"/>
    <n v="141.5"/>
    <n v="121.6"/>
    <n v="147.30000000000001"/>
    <n v="168"/>
    <n v="135.80000000000001"/>
    <n v="122.5"/>
    <n v="136"/>
    <n v="131.9"/>
    <n v="151.4"/>
    <m/>
    <n v="142.4"/>
    <n v="152.1"/>
    <n v="148.19999999999999"/>
    <n v="141.5"/>
    <n v="147.30000000000001"/>
    <s v="NA"/>
    <n v="141.1"/>
    <n v="139.4"/>
    <n v="135.80000000000001"/>
    <n v="121.6"/>
    <n v="133.69999999999999"/>
    <n v="141.5"/>
    <n v="128.1"/>
    <n v="131.69999999999999"/>
    <n v="140"/>
    <x v="0"/>
    <m/>
    <m/>
    <m/>
    <m/>
  </r>
  <r>
    <s v="Urban"/>
    <x v="4"/>
    <x v="11"/>
    <n v="134.30000000000001"/>
    <n v="142.1"/>
    <n v="146.69999999999999"/>
    <n v="139.5"/>
    <n v="115.2"/>
    <n v="136.4"/>
    <n v="185.2"/>
    <n v="122.2"/>
    <n v="123.9"/>
    <n v="138.30000000000001"/>
    <n v="125.4"/>
    <n v="146"/>
    <m/>
    <n v="141.5"/>
    <n v="156.19999999999999"/>
    <n v="135"/>
    <n v="125.4"/>
    <n v="133.5"/>
    <n v="138.6"/>
    <n v="125.7"/>
    <n v="128.80000000000001"/>
    <n v="127.4"/>
    <n v="115.3"/>
    <n v="125.1"/>
    <n v="136.6"/>
    <n v="124.9"/>
    <n v="124.9"/>
    <n v="134.80000000000001"/>
    <x v="0"/>
    <m/>
    <m/>
    <m/>
    <m/>
  </r>
  <r>
    <s v="Rural+Urban"/>
    <x v="4"/>
    <x v="11"/>
    <n v="135.69999999999999"/>
    <n v="142.4"/>
    <n v="142.9"/>
    <n v="140.80000000000001"/>
    <n v="119.2"/>
    <n v="142.19999999999999"/>
    <n v="173.8"/>
    <n v="131.19999999999999"/>
    <n v="123"/>
    <n v="136.80000000000001"/>
    <n v="129.19999999999999"/>
    <n v="148.9"/>
    <s v="Before COVID"/>
    <n v="142.1"/>
    <n v="153.19999999999999"/>
    <n v="143"/>
    <n v="134.80000000000001"/>
    <n v="141.80000000000001"/>
    <n v="138.6"/>
    <n v="135.30000000000001"/>
    <n v="134.4"/>
    <n v="132.6"/>
    <n v="118.3"/>
    <n v="128.9"/>
    <n v="138.6"/>
    <n v="126.8"/>
    <n v="128.4"/>
    <n v="137.6"/>
    <x v="0"/>
    <m/>
    <m/>
    <m/>
    <m/>
  </r>
  <r>
    <s v="Rural"/>
    <x v="4"/>
    <x v="12"/>
    <n v="136.4"/>
    <n v="143.69999999999999"/>
    <n v="144.80000000000001"/>
    <n v="141.9"/>
    <n v="123.1"/>
    <n v="147.19999999999999"/>
    <n v="161"/>
    <n v="133.80000000000001"/>
    <n v="121.9"/>
    <n v="135.80000000000001"/>
    <n v="131.1"/>
    <n v="151.4"/>
    <m/>
    <n v="141.5"/>
    <n v="153.19999999999999"/>
    <n v="148"/>
    <n v="141.9"/>
    <n v="147.19999999999999"/>
    <s v="NA"/>
    <n v="142.6"/>
    <n v="139.5"/>
    <n v="136.1"/>
    <n v="122"/>
    <n v="133.4"/>
    <n v="141.1"/>
    <n v="127.8"/>
    <n v="131.9"/>
    <n v="139.80000000000001"/>
    <x v="0"/>
    <m/>
    <m/>
    <m/>
    <m/>
  </r>
  <r>
    <s v="Urban"/>
    <x v="4"/>
    <x v="12"/>
    <n v="134.4"/>
    <n v="142.6"/>
    <n v="145.9"/>
    <n v="139.5"/>
    <n v="115.9"/>
    <n v="135"/>
    <n v="163.19999999999999"/>
    <n v="119.8"/>
    <n v="120.7"/>
    <n v="139.69999999999999"/>
    <n v="125.7"/>
    <n v="146.30000000000001"/>
    <m/>
    <n v="138.80000000000001"/>
    <n v="157"/>
    <n v="135.6"/>
    <n v="125.6"/>
    <n v="134"/>
    <n v="139.1"/>
    <n v="126.8"/>
    <n v="129.30000000000001"/>
    <n v="128.19999999999999"/>
    <n v="115.3"/>
    <n v="125.6"/>
    <n v="136.69999999999999"/>
    <n v="124.6"/>
    <n v="125.1"/>
    <n v="134.1"/>
    <x v="0"/>
    <m/>
    <m/>
    <m/>
    <m/>
  </r>
  <r>
    <s v="Rural+Urban"/>
    <x v="4"/>
    <x v="12"/>
    <n v="135.80000000000001"/>
    <n v="143.30000000000001"/>
    <n v="145.19999999999999"/>
    <n v="141"/>
    <n v="120.5"/>
    <n v="141.5"/>
    <n v="161.69999999999999"/>
    <n v="129.1"/>
    <n v="121.5"/>
    <n v="137.1"/>
    <n v="128.80000000000001"/>
    <n v="149"/>
    <s v="Before COVID"/>
    <n v="140.5"/>
    <n v="154.19999999999999"/>
    <n v="143.1"/>
    <n v="135.1"/>
    <n v="142"/>
    <n v="139.1"/>
    <n v="136.6"/>
    <n v="134.69999999999999"/>
    <n v="133.1"/>
    <n v="118.5"/>
    <n v="129"/>
    <n v="138.5"/>
    <n v="126.5"/>
    <n v="128.6"/>
    <n v="137.19999999999999"/>
    <x v="0"/>
    <m/>
    <m/>
    <m/>
    <m/>
  </r>
  <r>
    <s v="Rural"/>
    <x v="5"/>
    <x v="0"/>
    <n v="136.6"/>
    <n v="144.4"/>
    <n v="143.80000000000001"/>
    <n v="142"/>
    <n v="123.2"/>
    <n v="147.9"/>
    <n v="152.1"/>
    <n v="131.80000000000001"/>
    <n v="119.5"/>
    <n v="136"/>
    <n v="131.19999999999999"/>
    <n v="151.80000000000001"/>
    <m/>
    <n v="140.4"/>
    <n v="153.6"/>
    <n v="148.30000000000001"/>
    <n v="142.30000000000001"/>
    <n v="147.5"/>
    <s v="NA"/>
    <n v="142.30000000000001"/>
    <n v="139.80000000000001"/>
    <n v="136"/>
    <n v="122.7"/>
    <n v="134.30000000000001"/>
    <n v="141.6"/>
    <n v="128.6"/>
    <n v="132.30000000000001"/>
    <n v="139.30000000000001"/>
    <x v="0"/>
    <m/>
    <m/>
    <m/>
    <m/>
  </r>
  <r>
    <s v="Urban"/>
    <x v="5"/>
    <x v="0"/>
    <n v="134.6"/>
    <n v="143.69999999999999"/>
    <n v="143.6"/>
    <n v="139.6"/>
    <n v="116.4"/>
    <n v="133.80000000000001"/>
    <n v="150.5"/>
    <n v="118.4"/>
    <n v="117.3"/>
    <n v="140.5"/>
    <n v="125.9"/>
    <n v="146.80000000000001"/>
    <m/>
    <n v="137.19999999999999"/>
    <n v="157.69999999999999"/>
    <n v="136"/>
    <n v="125.9"/>
    <n v="134.4"/>
    <n v="140.4"/>
    <n v="127.3"/>
    <n v="129.5"/>
    <n v="129"/>
    <n v="116.3"/>
    <n v="126.2"/>
    <n v="137.1"/>
    <n v="125.5"/>
    <n v="125.8"/>
    <n v="134.1"/>
    <x v="0"/>
    <m/>
    <m/>
    <m/>
    <m/>
  </r>
  <r>
    <s v="Rural+Urban"/>
    <x v="5"/>
    <x v="0"/>
    <n v="136"/>
    <n v="144.19999999999999"/>
    <n v="143.69999999999999"/>
    <n v="141.1"/>
    <n v="120.7"/>
    <n v="141.30000000000001"/>
    <n v="151.6"/>
    <n v="127.3"/>
    <n v="118.8"/>
    <n v="137.5"/>
    <n v="129"/>
    <n v="149.5"/>
    <s v="Before COVID"/>
    <n v="139.19999999999999"/>
    <n v="154.69999999999999"/>
    <n v="143.5"/>
    <n v="135.5"/>
    <n v="142.30000000000001"/>
    <n v="140.4"/>
    <n v="136.6"/>
    <n v="134.9"/>
    <n v="133.30000000000001"/>
    <n v="119.3"/>
    <n v="129.69999999999999"/>
    <n v="139"/>
    <n v="127.3"/>
    <n v="129.1"/>
    <n v="136.9"/>
    <x v="1"/>
    <n v="4.2503863987635242"/>
    <n v="4.8780487804878181"/>
    <n v="1.9658119658119633"/>
    <n v="5.0652340752110465"/>
  </r>
  <r>
    <s v="Rural"/>
    <x v="5"/>
    <x v="1"/>
    <n v="136.4"/>
    <n v="143.69999999999999"/>
    <n v="140.6"/>
    <n v="141.5"/>
    <n v="122.9"/>
    <n v="149.4"/>
    <n v="142.4"/>
    <n v="130.19999999999999"/>
    <n v="117.9"/>
    <n v="135.6"/>
    <n v="130.5"/>
    <n v="151.69999999999999"/>
    <m/>
    <n v="138.69999999999999"/>
    <n v="153.30000000000001"/>
    <n v="148.69999999999999"/>
    <n v="142.4"/>
    <n v="147.80000000000001"/>
    <s v="NA"/>
    <n v="142.4"/>
    <n v="139.9"/>
    <n v="136.19999999999999"/>
    <n v="123.3"/>
    <n v="134.30000000000001"/>
    <n v="141.5"/>
    <n v="128.80000000000001"/>
    <n v="132.5"/>
    <n v="138.5"/>
    <x v="0"/>
    <m/>
    <m/>
    <m/>
    <m/>
  </r>
  <r>
    <s v="Urban"/>
    <x v="5"/>
    <x v="1"/>
    <n v="134.80000000000001"/>
    <n v="143"/>
    <n v="139.9"/>
    <n v="139.9"/>
    <n v="116.2"/>
    <n v="135.5"/>
    <n v="136.9"/>
    <n v="117"/>
    <n v="115.4"/>
    <n v="140.69999999999999"/>
    <n v="125.9"/>
    <n v="147.1"/>
    <m/>
    <n v="135.6"/>
    <n v="159.30000000000001"/>
    <n v="136.30000000000001"/>
    <n v="126.1"/>
    <n v="134.69999999999999"/>
    <n v="141.30000000000001"/>
    <n v="127.3"/>
    <n v="129.9"/>
    <n v="129.80000000000001"/>
    <n v="117.4"/>
    <n v="126.5"/>
    <n v="137.19999999999999"/>
    <n v="126.2"/>
    <n v="126.5"/>
    <n v="134"/>
    <x v="0"/>
    <m/>
    <m/>
    <m/>
    <m/>
  </r>
  <r>
    <s v="Rural+Urban"/>
    <x v="5"/>
    <x v="1"/>
    <n v="135.9"/>
    <n v="143.5"/>
    <n v="140.30000000000001"/>
    <n v="140.9"/>
    <n v="120.4"/>
    <n v="142.9"/>
    <n v="140.5"/>
    <n v="125.8"/>
    <n v="117.1"/>
    <n v="137.30000000000001"/>
    <n v="128.6"/>
    <n v="149.6"/>
    <s v="Before COVID"/>
    <n v="137.6"/>
    <n v="154.9"/>
    <n v="143.80000000000001"/>
    <n v="135.6"/>
    <n v="142.6"/>
    <n v="141.30000000000001"/>
    <n v="136.69999999999999"/>
    <n v="135.19999999999999"/>
    <n v="133.80000000000001"/>
    <n v="120.2"/>
    <n v="129.9"/>
    <n v="139"/>
    <n v="127.7"/>
    <n v="129.6"/>
    <n v="136.4"/>
    <x v="2"/>
    <n v="4.2405551272166537"/>
    <n v="5.0235478806907423"/>
    <n v="2.3850085178875613"/>
    <n v="4.4410413476263493"/>
  </r>
  <r>
    <s v="Rural"/>
    <x v="5"/>
    <x v="2"/>
    <n v="136.80000000000001"/>
    <n v="143.80000000000001"/>
    <n v="140"/>
    <n v="142"/>
    <n v="123.2"/>
    <n v="152.9"/>
    <n v="138"/>
    <n v="129.30000000000001"/>
    <n v="117.1"/>
    <n v="136.30000000000001"/>
    <n v="131.19999999999999"/>
    <n v="152.80000000000001"/>
    <m/>
    <n v="138.6"/>
    <n v="155.1"/>
    <n v="149.19999999999999"/>
    <n v="143"/>
    <n v="148.30000000000001"/>
    <s v="NA"/>
    <n v="142.6"/>
    <n v="139.9"/>
    <n v="136.69999999999999"/>
    <n v="124.6"/>
    <n v="135.1"/>
    <n v="142.69999999999999"/>
    <n v="129.30000000000001"/>
    <n v="133.30000000000001"/>
    <n v="138.69999999999999"/>
    <x v="0"/>
    <m/>
    <m/>
    <m/>
    <m/>
  </r>
  <r>
    <s v="Urban"/>
    <x v="5"/>
    <x v="2"/>
    <n v="135"/>
    <n v="143.1"/>
    <n v="135.5"/>
    <n v="139.9"/>
    <n v="116.5"/>
    <n v="138.5"/>
    <n v="128"/>
    <n v="115.5"/>
    <n v="114.2"/>
    <n v="140.69999999999999"/>
    <n v="126.2"/>
    <n v="147.6"/>
    <m/>
    <n v="134.80000000000001"/>
    <n v="159.69999999999999"/>
    <n v="136.69999999999999"/>
    <n v="126.7"/>
    <n v="135.19999999999999"/>
    <n v="142"/>
    <n v="126.4"/>
    <n v="130.80000000000001"/>
    <n v="130.5"/>
    <n v="117.8"/>
    <n v="126.8"/>
    <n v="137.80000000000001"/>
    <n v="126.7"/>
    <n v="127.1"/>
    <n v="134"/>
    <x v="0"/>
    <m/>
    <m/>
    <m/>
    <m/>
  </r>
  <r>
    <s v="Rural+Urban"/>
    <x v="5"/>
    <x v="2"/>
    <n v="136.19999999999999"/>
    <n v="143.6"/>
    <n v="138.30000000000001"/>
    <n v="141.19999999999999"/>
    <n v="120.7"/>
    <n v="146.19999999999999"/>
    <n v="134.6"/>
    <n v="124.6"/>
    <n v="116.1"/>
    <n v="137.80000000000001"/>
    <n v="129.1"/>
    <n v="150.4"/>
    <s v="Before COVID"/>
    <n v="137.19999999999999"/>
    <n v="156.30000000000001"/>
    <n v="144.30000000000001"/>
    <n v="136.19999999999999"/>
    <n v="143.1"/>
    <n v="142"/>
    <n v="136.5"/>
    <n v="135.6"/>
    <n v="134.30000000000001"/>
    <n v="121"/>
    <n v="130.4"/>
    <n v="139.80000000000001"/>
    <n v="128.19999999999999"/>
    <n v="130.30000000000001"/>
    <n v="136.5"/>
    <x v="3"/>
    <n v="4.2275172943889316"/>
    <n v="5.086071987480449"/>
    <n v="2.8911564625850388"/>
    <n v="4.2780748663101562"/>
  </r>
  <r>
    <s v="Rural"/>
    <x v="5"/>
    <x v="3"/>
    <n v="137.1"/>
    <n v="144.5"/>
    <n v="135.9"/>
    <n v="142.4"/>
    <n v="123.5"/>
    <n v="156.4"/>
    <n v="135.1"/>
    <n v="128.4"/>
    <n v="115.2"/>
    <n v="137.19999999999999"/>
    <n v="131.9"/>
    <n v="153.80000000000001"/>
    <m/>
    <n v="138.6"/>
    <n v="156.1"/>
    <n v="150.1"/>
    <n v="143.30000000000001"/>
    <n v="149.1"/>
    <s v="NA"/>
    <n v="143.80000000000001"/>
    <n v="140.9"/>
    <n v="137.6"/>
    <n v="125.3"/>
    <n v="136"/>
    <n v="143.69999999999999"/>
    <n v="130.4"/>
    <n v="134.19999999999999"/>
    <n v="139.1"/>
    <x v="0"/>
    <m/>
    <m/>
    <m/>
    <m/>
  </r>
  <r>
    <s v="Urban"/>
    <x v="5"/>
    <x v="3"/>
    <n v="135"/>
    <n v="144.30000000000001"/>
    <n v="130.80000000000001"/>
    <n v="140.30000000000001"/>
    <n v="116.6"/>
    <n v="150.1"/>
    <n v="127.6"/>
    <n v="114"/>
    <n v="110.6"/>
    <n v="140.19999999999999"/>
    <n v="126.5"/>
    <n v="148.30000000000001"/>
    <m/>
    <n v="135.69999999999999"/>
    <n v="159.19999999999999"/>
    <n v="137.80000000000001"/>
    <n v="127.4"/>
    <n v="136.19999999999999"/>
    <n v="142.9"/>
    <n v="124.6"/>
    <n v="131.80000000000001"/>
    <n v="131.30000000000001"/>
    <n v="118.9"/>
    <n v="127.6"/>
    <n v="139.69999999999999"/>
    <n v="127.6"/>
    <n v="128.19999999999999"/>
    <n v="134.80000000000001"/>
    <x v="0"/>
    <m/>
    <m/>
    <m/>
    <m/>
  </r>
  <r>
    <s v="Rural+Urban"/>
    <x v="5"/>
    <x v="3"/>
    <n v="136.4"/>
    <n v="144.4"/>
    <n v="133.9"/>
    <n v="141.6"/>
    <n v="121"/>
    <n v="153.5"/>
    <n v="132.6"/>
    <n v="123.5"/>
    <n v="113.7"/>
    <n v="138.19999999999999"/>
    <n v="129.6"/>
    <n v="151.19999999999999"/>
    <s v="Before COVID"/>
    <n v="137.5"/>
    <n v="156.9"/>
    <n v="145.30000000000001"/>
    <n v="136.69999999999999"/>
    <n v="144"/>
    <n v="142.9"/>
    <n v="136.5"/>
    <n v="136.6"/>
    <n v="135.19999999999999"/>
    <n v="121.9"/>
    <n v="131.30000000000001"/>
    <n v="141.4"/>
    <n v="129.19999999999999"/>
    <n v="131.30000000000001"/>
    <n v="137.1"/>
    <x v="4"/>
    <n v="4.7546012269938567"/>
    <n v="5.5425448868071774"/>
    <n v="4.5454545454545556"/>
    <n v="4.5766590389016022"/>
  </r>
  <r>
    <s v="Rural"/>
    <x v="5"/>
    <x v="4"/>
    <n v="137.4"/>
    <n v="145.69999999999999"/>
    <n v="135.5"/>
    <n v="142.9"/>
    <n v="123.6"/>
    <n v="157.5"/>
    <n v="137.80000000000001"/>
    <n v="127.2"/>
    <n v="111.8"/>
    <n v="137.4"/>
    <n v="132.19999999999999"/>
    <n v="154.30000000000001"/>
    <m/>
    <n v="139.1"/>
    <n v="157"/>
    <n v="150.80000000000001"/>
    <n v="144.1"/>
    <n v="149.80000000000001"/>
    <s v="NA"/>
    <n v="144.30000000000001"/>
    <n v="141.80000000000001"/>
    <n v="138.4"/>
    <n v="126.4"/>
    <n v="136.80000000000001"/>
    <n v="144.4"/>
    <n v="131.19999999999999"/>
    <n v="135.1"/>
    <n v="139.80000000000001"/>
    <x v="0"/>
    <m/>
    <m/>
    <m/>
    <m/>
  </r>
  <r>
    <s v="Urban"/>
    <x v="5"/>
    <x v="4"/>
    <n v="135"/>
    <n v="148.19999999999999"/>
    <n v="130.5"/>
    <n v="140.69999999999999"/>
    <n v="116.4"/>
    <n v="151.30000000000001"/>
    <n v="131.4"/>
    <n v="112.8"/>
    <n v="105.3"/>
    <n v="139.6"/>
    <n v="126.6"/>
    <n v="148.69999999999999"/>
    <m/>
    <n v="136.4"/>
    <n v="160.30000000000001"/>
    <n v="138.6"/>
    <n v="127.9"/>
    <n v="137"/>
    <n v="143.19999999999999"/>
    <n v="124.7"/>
    <n v="132.5"/>
    <n v="132"/>
    <n v="119.8"/>
    <n v="128"/>
    <n v="140.4"/>
    <n v="128.1"/>
    <n v="128.9"/>
    <n v="135.4"/>
    <x v="0"/>
    <m/>
    <m/>
    <m/>
    <m/>
  </r>
  <r>
    <s v="Rural+Urban"/>
    <x v="5"/>
    <x v="4"/>
    <n v="136.6"/>
    <n v="146.6"/>
    <n v="133.6"/>
    <n v="142.1"/>
    <n v="121"/>
    <n v="154.6"/>
    <n v="135.6"/>
    <n v="122.3"/>
    <n v="109.6"/>
    <n v="138.1"/>
    <n v="129.9"/>
    <n v="151.69999999999999"/>
    <s v="Before COVID"/>
    <n v="138.1"/>
    <n v="157.9"/>
    <n v="146"/>
    <n v="137.4"/>
    <n v="144.69999999999999"/>
    <n v="143.19999999999999"/>
    <n v="136.9"/>
    <n v="137.4"/>
    <n v="136"/>
    <n v="122.9"/>
    <n v="131.80000000000001"/>
    <n v="142.1"/>
    <n v="129.9"/>
    <n v="132.1"/>
    <n v="137.80000000000001"/>
    <x v="5"/>
    <n v="4.965622612681436"/>
    <n v="5.9190031152647924"/>
    <n v="5.3127677806341067"/>
    <n v="4.8706240487062447"/>
  </r>
  <r>
    <s v="Rural"/>
    <x v="5"/>
    <x v="5"/>
    <n v="137.6"/>
    <n v="148.1"/>
    <n v="136.69999999999999"/>
    <n v="143.19999999999999"/>
    <n v="124"/>
    <n v="154.1"/>
    <n v="143.5"/>
    <n v="126"/>
    <n v="112.4"/>
    <n v="137.6"/>
    <n v="132.80000000000001"/>
    <n v="154.30000000000001"/>
    <m/>
    <n v="140"/>
    <n v="157.30000000000001"/>
    <n v="151.30000000000001"/>
    <n v="144.69999999999999"/>
    <n v="150.30000000000001"/>
    <s v="NA"/>
    <n v="145.1"/>
    <n v="142.19999999999999"/>
    <n v="138.4"/>
    <n v="127.4"/>
    <n v="137.80000000000001"/>
    <n v="145.1"/>
    <n v="131.4"/>
    <n v="135.6"/>
    <n v="140.5"/>
    <x v="0"/>
    <m/>
    <m/>
    <m/>
    <m/>
  </r>
  <r>
    <s v="Urban"/>
    <x v="5"/>
    <x v="5"/>
    <n v="135.30000000000001"/>
    <n v="149.69999999999999"/>
    <n v="133.9"/>
    <n v="140.80000000000001"/>
    <n v="116.6"/>
    <n v="152.19999999999999"/>
    <n v="144"/>
    <n v="112.3"/>
    <n v="108.4"/>
    <n v="140"/>
    <n v="126.7"/>
    <n v="149"/>
    <m/>
    <n v="138.4"/>
    <n v="161"/>
    <n v="138.9"/>
    <n v="128.69999999999999"/>
    <n v="137.4"/>
    <n v="142.5"/>
    <n v="126.5"/>
    <n v="133.1"/>
    <n v="132.6"/>
    <n v="120.4"/>
    <n v="128.5"/>
    <n v="141.19999999999999"/>
    <n v="128.19999999999999"/>
    <n v="129.5"/>
    <n v="136.19999999999999"/>
    <x v="0"/>
    <m/>
    <m/>
    <m/>
    <m/>
  </r>
  <r>
    <s v="Rural+Urban"/>
    <x v="5"/>
    <x v="5"/>
    <n v="136.9"/>
    <n v="148.69999999999999"/>
    <n v="135.6"/>
    <n v="142.30000000000001"/>
    <n v="121.3"/>
    <n v="153.19999999999999"/>
    <n v="143.69999999999999"/>
    <n v="121.4"/>
    <n v="111.1"/>
    <n v="138.4"/>
    <n v="130.30000000000001"/>
    <n v="151.80000000000001"/>
    <s v="Before COVID"/>
    <n v="139.4"/>
    <n v="158.30000000000001"/>
    <n v="146.4"/>
    <n v="138.1"/>
    <n v="145.19999999999999"/>
    <n v="142.5"/>
    <n v="138.1"/>
    <n v="137.9"/>
    <n v="136.19999999999999"/>
    <n v="123.7"/>
    <n v="132.6"/>
    <n v="142.80000000000001"/>
    <n v="130.1"/>
    <n v="132.6"/>
    <n v="138.5"/>
    <x v="6"/>
    <n v="5.1067073170731847"/>
    <n v="5.992217898832676"/>
    <n v="6.180257510729616"/>
    <n v="4.9242424242424239"/>
  </r>
  <r>
    <s v="Rural"/>
    <x v="5"/>
    <x v="6"/>
    <n v="138.4"/>
    <n v="149.30000000000001"/>
    <n v="139.30000000000001"/>
    <n v="143.4"/>
    <n v="124.1"/>
    <n v="153.30000000000001"/>
    <n v="154.19999999999999"/>
    <n v="126.4"/>
    <n v="114.3"/>
    <n v="138.19999999999999"/>
    <n v="132.80000000000001"/>
    <n v="154.80000000000001"/>
    <m/>
    <n v="142"/>
    <n v="156.1"/>
    <n v="151.5"/>
    <n v="145.1"/>
    <n v="150.6"/>
    <s v="NA"/>
    <n v="146.80000000000001"/>
    <n v="143.1"/>
    <n v="139"/>
    <n v="127.5"/>
    <n v="138.4"/>
    <n v="145.80000000000001"/>
    <n v="131.4"/>
    <n v="136"/>
    <n v="141.80000000000001"/>
    <x v="0"/>
    <m/>
    <m/>
    <m/>
    <m/>
  </r>
  <r>
    <s v="Urban"/>
    <x v="5"/>
    <x v="6"/>
    <n v="135.6"/>
    <n v="148.6"/>
    <n v="139.1"/>
    <n v="141"/>
    <n v="116.7"/>
    <n v="149.69999999999999"/>
    <n v="159.19999999999999"/>
    <n v="112.6"/>
    <n v="111.8"/>
    <n v="140.30000000000001"/>
    <n v="126.8"/>
    <n v="149.4"/>
    <m/>
    <n v="140.30000000000001"/>
    <n v="161.4"/>
    <n v="139.6"/>
    <n v="128.9"/>
    <n v="137.9"/>
    <n v="143.6"/>
    <n v="128.1"/>
    <n v="133.6"/>
    <n v="133.6"/>
    <n v="120.1"/>
    <n v="129"/>
    <n v="144"/>
    <n v="128.19999999999999"/>
    <n v="130.19999999999999"/>
    <n v="137.5"/>
    <x v="0"/>
    <m/>
    <m/>
    <m/>
    <m/>
  </r>
  <r>
    <s v="Rural+Urban"/>
    <x v="5"/>
    <x v="6"/>
    <n v="137.5"/>
    <n v="149.1"/>
    <n v="139.19999999999999"/>
    <n v="142.5"/>
    <n v="121.4"/>
    <n v="151.6"/>
    <n v="155.9"/>
    <n v="121.7"/>
    <n v="113.5"/>
    <n v="138.9"/>
    <n v="130.30000000000001"/>
    <n v="152.30000000000001"/>
    <s v="Before COVID"/>
    <n v="141.4"/>
    <n v="157.5"/>
    <n v="146.80000000000001"/>
    <n v="138.4"/>
    <n v="145.6"/>
    <n v="143.6"/>
    <n v="139.69999999999999"/>
    <n v="138.6"/>
    <n v="137"/>
    <n v="123.6"/>
    <n v="133.1"/>
    <n v="144.69999999999999"/>
    <n v="130.1"/>
    <n v="133.19999999999999"/>
    <n v="139.80000000000001"/>
    <x v="7"/>
    <n v="5.0796057619408561"/>
    <n v="5.8732612055641376"/>
    <n v="6.5517241379310294"/>
    <n v="4.1728763040238617"/>
  </r>
  <r>
    <s v="Rural"/>
    <x v="5"/>
    <x v="7"/>
    <n v="139.19999999999999"/>
    <n v="148.80000000000001"/>
    <n v="139.1"/>
    <n v="143.5"/>
    <n v="125"/>
    <n v="154.4"/>
    <n v="156.30000000000001"/>
    <n v="126.8"/>
    <n v="115.4"/>
    <n v="138.6"/>
    <n v="133.80000000000001"/>
    <n v="155.19999999999999"/>
    <m/>
    <n v="142.69999999999999"/>
    <n v="156.4"/>
    <n v="152.1"/>
    <n v="145.80000000000001"/>
    <n v="151.30000000000001"/>
    <s v="NA"/>
    <n v="147.69999999999999"/>
    <n v="143.80000000000001"/>
    <n v="139.4"/>
    <n v="128.30000000000001"/>
    <n v="138.6"/>
    <n v="146.9"/>
    <n v="131.30000000000001"/>
    <n v="136.6"/>
    <n v="142.5"/>
    <x v="0"/>
    <m/>
    <m/>
    <m/>
    <m/>
  </r>
  <r>
    <s v="Urban"/>
    <x v="5"/>
    <x v="7"/>
    <n v="136.5"/>
    <n v="146.4"/>
    <n v="136.6"/>
    <n v="141.19999999999999"/>
    <n v="117.4"/>
    <n v="146.30000000000001"/>
    <n v="157.30000000000001"/>
    <n v="113.6"/>
    <n v="113.3"/>
    <n v="141.1"/>
    <n v="127.4"/>
    <n v="150.4"/>
    <m/>
    <n v="140.1"/>
    <n v="162.1"/>
    <n v="140"/>
    <n v="129"/>
    <n v="138.30000000000001"/>
    <n v="144.6"/>
    <n v="129.80000000000001"/>
    <n v="134.4"/>
    <n v="134.9"/>
    <n v="120.7"/>
    <n v="129.80000000000001"/>
    <n v="145.30000000000001"/>
    <n v="128.30000000000001"/>
    <n v="131"/>
    <n v="138"/>
    <x v="0"/>
    <m/>
    <m/>
    <m/>
    <m/>
  </r>
  <r>
    <s v="Rural+Urban"/>
    <x v="5"/>
    <x v="7"/>
    <n v="138.30000000000001"/>
    <n v="148"/>
    <n v="138.1"/>
    <n v="142.6"/>
    <n v="122.2"/>
    <n v="150.6"/>
    <n v="156.6"/>
    <n v="122.4"/>
    <n v="114.7"/>
    <n v="139.4"/>
    <n v="131.1"/>
    <n v="153"/>
    <s v="Before COVID"/>
    <n v="141.69999999999999"/>
    <n v="157.9"/>
    <n v="147.30000000000001"/>
    <n v="138.80000000000001"/>
    <n v="146.1"/>
    <n v="144.6"/>
    <n v="140.9"/>
    <n v="139.4"/>
    <n v="137.69999999999999"/>
    <n v="124.3"/>
    <n v="133.6"/>
    <n v="146"/>
    <n v="130.1"/>
    <n v="133.9"/>
    <n v="140.4"/>
    <x v="8"/>
    <n v="4.9698795180722843"/>
    <n v="5.7603686635944706"/>
    <n v="5.9676044330775797"/>
    <n v="3.6927621861152145"/>
  </r>
  <r>
    <s v="Rural"/>
    <x v="5"/>
    <x v="8"/>
    <n v="139.4"/>
    <n v="147.19999999999999"/>
    <n v="136.6"/>
    <n v="143.69999999999999"/>
    <n v="124.6"/>
    <n v="150.1"/>
    <n v="149.4"/>
    <n v="125.4"/>
    <n v="114.4"/>
    <n v="138.69999999999999"/>
    <n v="133.1"/>
    <n v="155.9"/>
    <m/>
    <n v="141.30000000000001"/>
    <n v="157.69999999999999"/>
    <n v="152.1"/>
    <n v="146.1"/>
    <n v="151.30000000000001"/>
    <s v="NA"/>
    <n v="149"/>
    <n v="144"/>
    <n v="140"/>
    <n v="129.9"/>
    <n v="140"/>
    <n v="147.6"/>
    <n v="132"/>
    <n v="137.4"/>
    <n v="142.1"/>
    <x v="0"/>
    <m/>
    <m/>
    <m/>
    <m/>
  </r>
  <r>
    <s v="Urban"/>
    <x v="5"/>
    <x v="8"/>
    <n v="137"/>
    <n v="143.1"/>
    <n v="132.80000000000001"/>
    <n v="141.5"/>
    <n v="117.8"/>
    <n v="140"/>
    <n v="151.30000000000001"/>
    <n v="113.5"/>
    <n v="112.3"/>
    <n v="141.19999999999999"/>
    <n v="127.7"/>
    <n v="151.30000000000001"/>
    <m/>
    <n v="138.9"/>
    <n v="163.30000000000001"/>
    <n v="140.80000000000001"/>
    <n v="129.30000000000001"/>
    <n v="139.1"/>
    <n v="145.30000000000001"/>
    <n v="131.19999999999999"/>
    <n v="134.9"/>
    <n v="135.69999999999999"/>
    <n v="122.5"/>
    <n v="130.19999999999999"/>
    <n v="145.19999999999999"/>
    <n v="129.30000000000001"/>
    <n v="131.9"/>
    <n v="138.1"/>
    <x v="0"/>
    <m/>
    <m/>
    <m/>
    <m/>
  </r>
  <r>
    <s v="Rural+Urban"/>
    <x v="5"/>
    <x v="8"/>
    <n v="138.6"/>
    <n v="145.80000000000001"/>
    <n v="135.1"/>
    <n v="142.9"/>
    <n v="122.1"/>
    <n v="145.4"/>
    <n v="150"/>
    <n v="121.4"/>
    <n v="113.7"/>
    <n v="139.5"/>
    <n v="130.80000000000001"/>
    <n v="153.80000000000001"/>
    <s v="Before COVID"/>
    <n v="140.4"/>
    <n v="159.19999999999999"/>
    <n v="147.69999999999999"/>
    <n v="139.1"/>
    <n v="146.5"/>
    <n v="145.30000000000001"/>
    <n v="142.30000000000001"/>
    <n v="139.69999999999999"/>
    <n v="138.4"/>
    <n v="126"/>
    <n v="134.5"/>
    <n v="146.19999999999999"/>
    <n v="130.9"/>
    <n v="134.69999999999999"/>
    <n v="140.19999999999999"/>
    <x v="9"/>
    <n v="4.8012003000750019"/>
    <n v="5.9724349157733627"/>
    <n v="6.5088757396449735"/>
    <n v="3.6982248520710059"/>
  </r>
  <r>
    <s v="Rural"/>
    <x v="5"/>
    <x v="9"/>
    <n v="139.30000000000001"/>
    <n v="147.6"/>
    <n v="134.6"/>
    <n v="141.9"/>
    <n v="123.5"/>
    <n v="144.5"/>
    <n v="147.6"/>
    <n v="121.4"/>
    <n v="112.3"/>
    <n v="139.5"/>
    <n v="134.6"/>
    <n v="155.19999999999999"/>
    <m/>
    <n v="140.19999999999999"/>
    <n v="159.6"/>
    <n v="150.69999999999999"/>
    <n v="144.5"/>
    <n v="149.80000000000001"/>
    <s v="NA"/>
    <n v="149.69999999999999"/>
    <n v="147.5"/>
    <n v="144.80000000000001"/>
    <n v="130.80000000000001"/>
    <n v="140.1"/>
    <n v="148"/>
    <n v="134.4"/>
    <n v="139.80000000000001"/>
    <n v="142.19999999999999"/>
    <x v="0"/>
    <m/>
    <m/>
    <m/>
    <m/>
  </r>
  <r>
    <s v="Urban"/>
    <x v="5"/>
    <x v="9"/>
    <n v="137.6"/>
    <n v="144.9"/>
    <n v="133.5"/>
    <n v="141.5"/>
    <n v="118"/>
    <n v="139.5"/>
    <n v="153"/>
    <n v="113.2"/>
    <n v="112.8"/>
    <n v="141.1"/>
    <n v="127.6"/>
    <n v="152"/>
    <m/>
    <n v="139.4"/>
    <n v="164"/>
    <n v="141.5"/>
    <n v="129.80000000000001"/>
    <n v="139.69999999999999"/>
    <n v="146.30000000000001"/>
    <n v="133.4"/>
    <n v="135.1"/>
    <n v="136.19999999999999"/>
    <n v="123.3"/>
    <n v="130.69999999999999"/>
    <n v="145.5"/>
    <n v="130.4"/>
    <n v="132.5"/>
    <n v="138.9"/>
    <x v="0"/>
    <m/>
    <m/>
    <m/>
    <m/>
  </r>
  <r>
    <s v="Rural+Urban"/>
    <x v="5"/>
    <x v="9"/>
    <n v="137.4"/>
    <n v="149.5"/>
    <n v="137.30000000000001"/>
    <n v="141.9"/>
    <n v="121.1"/>
    <n v="142.5"/>
    <n v="146.69999999999999"/>
    <n v="119.1"/>
    <n v="111.9"/>
    <n v="141"/>
    <n v="133.6"/>
    <n v="154.5"/>
    <s v="Before COVID"/>
    <n v="139.69999999999999"/>
    <n v="162.6"/>
    <n v="148"/>
    <n v="139.19999999999999"/>
    <n v="146.80000000000001"/>
    <n v="146.9"/>
    <n v="145.30000000000001"/>
    <n v="142.19999999999999"/>
    <n v="142.1"/>
    <n v="125.5"/>
    <n v="136.5"/>
    <n v="147.80000000000001"/>
    <n v="132"/>
    <n v="136.30000000000001"/>
    <n v="140.80000000000001"/>
    <x v="10"/>
    <n v="6.4371257485029902"/>
    <n v="8.225437928408212"/>
    <n v="6.5365025466893059"/>
    <n v="3.4533431300514459"/>
  </r>
  <r>
    <s v="Rural"/>
    <x v="5"/>
    <x v="11"/>
    <n v="137.1"/>
    <n v="150.80000000000001"/>
    <n v="136.69999999999999"/>
    <n v="141.9"/>
    <n v="122.8"/>
    <n v="143.9"/>
    <n v="147.5"/>
    <n v="121"/>
    <n v="111.6"/>
    <n v="140.6"/>
    <n v="137.5"/>
    <n v="156.1"/>
    <m/>
    <n v="140"/>
    <n v="161.9"/>
    <n v="151.69999999999999"/>
    <n v="145.5"/>
    <n v="150.80000000000001"/>
    <s v="NA"/>
    <n v="150.30000000000001"/>
    <n v="148"/>
    <n v="145.4"/>
    <n v="130.30000000000001"/>
    <n v="143.1"/>
    <n v="150.19999999999999"/>
    <n v="133.1"/>
    <n v="140.1"/>
    <n v="142.4"/>
    <x v="0"/>
    <m/>
    <m/>
    <m/>
    <m/>
  </r>
  <r>
    <s v="Urban"/>
    <x v="5"/>
    <x v="11"/>
    <n v="138.1"/>
    <n v="146.30000000000001"/>
    <n v="137.80000000000001"/>
    <n v="141.6"/>
    <n v="118.1"/>
    <n v="141.5"/>
    <n v="145.19999999999999"/>
    <n v="115.3"/>
    <n v="112.5"/>
    <n v="141.4"/>
    <n v="128"/>
    <n v="152.6"/>
    <m/>
    <n v="139.1"/>
    <n v="164.4"/>
    <n v="142.4"/>
    <n v="130.19999999999999"/>
    <n v="140.5"/>
    <n v="146.9"/>
    <n v="136.69999999999999"/>
    <n v="135.80000000000001"/>
    <n v="136.80000000000001"/>
    <n v="121.2"/>
    <n v="131.30000000000001"/>
    <n v="146.1"/>
    <n v="130.5"/>
    <n v="132.19999999999999"/>
    <n v="139"/>
    <x v="0"/>
    <m/>
    <m/>
    <m/>
    <m/>
  </r>
  <r>
    <s v="Rural+Urban"/>
    <x v="5"/>
    <x v="11"/>
    <n v="137.4"/>
    <n v="149.19999999999999"/>
    <n v="137.1"/>
    <n v="141.80000000000001"/>
    <n v="121.1"/>
    <n v="142.80000000000001"/>
    <n v="146.69999999999999"/>
    <n v="119.1"/>
    <n v="111.9"/>
    <n v="140.9"/>
    <n v="133.5"/>
    <n v="154.5"/>
    <s v="Before COVID"/>
    <n v="139.69999999999999"/>
    <n v="162.6"/>
    <n v="148"/>
    <n v="139.1"/>
    <n v="146.69999999999999"/>
    <n v="146.9"/>
    <n v="145.1"/>
    <n v="142.19999999999999"/>
    <n v="142.1"/>
    <n v="125.5"/>
    <n v="136.5"/>
    <n v="147.80000000000001"/>
    <n v="132"/>
    <n v="136.30000000000001"/>
    <n v="140.80000000000001"/>
    <x v="11"/>
    <n v="5.8035714285714155"/>
    <n v="7.1644042232277538"/>
    <n v="6.0862214708368576"/>
    <n v="2.3255813953488498"/>
  </r>
  <r>
    <s v="Rural"/>
    <x v="5"/>
    <x v="12"/>
    <n v="137.1"/>
    <n v="151.9"/>
    <n v="137.4"/>
    <n v="142.4"/>
    <n v="124.2"/>
    <n v="140.19999999999999"/>
    <n v="136.6"/>
    <n v="120.9"/>
    <n v="109.9"/>
    <n v="140.19999999999999"/>
    <n v="137.80000000000001"/>
    <n v="156"/>
    <m/>
    <n v="138.5"/>
    <n v="162.4"/>
    <n v="151.6"/>
    <n v="145.9"/>
    <n v="150.80000000000001"/>
    <s v="NA"/>
    <n v="149"/>
    <n v="149.5"/>
    <n v="149.6"/>
    <n v="128.9"/>
    <n v="143.30000000000001"/>
    <n v="155.1"/>
    <n v="133.19999999999999"/>
    <n v="141.6"/>
    <n v="141.9"/>
    <x v="0"/>
    <m/>
    <m/>
    <m/>
    <m/>
  </r>
  <r>
    <s v="Urban"/>
    <x v="5"/>
    <x v="12"/>
    <n v="138.5"/>
    <n v="147.80000000000001"/>
    <n v="141.1"/>
    <n v="141.6"/>
    <n v="118.1"/>
    <n v="138.5"/>
    <n v="132.4"/>
    <n v="117.5"/>
    <n v="111"/>
    <n v="141.5"/>
    <n v="128.1"/>
    <n v="152.9"/>
    <m/>
    <n v="137.6"/>
    <n v="164.6"/>
    <n v="142.69999999999999"/>
    <n v="130.30000000000001"/>
    <n v="140.80000000000001"/>
    <n v="146.5"/>
    <n v="132.4"/>
    <n v="136.19999999999999"/>
    <n v="137.30000000000001"/>
    <n v="118.8"/>
    <n v="131.69999999999999"/>
    <n v="146.5"/>
    <n v="130.80000000000001"/>
    <n v="131.69999999999999"/>
    <n v="138"/>
    <x v="0"/>
    <m/>
    <m/>
    <m/>
    <m/>
  </r>
  <r>
    <s v="Rural+Urban"/>
    <x v="5"/>
    <x v="12"/>
    <n v="137.5"/>
    <n v="150.5"/>
    <n v="138.80000000000001"/>
    <n v="142.1"/>
    <n v="122"/>
    <n v="139.4"/>
    <n v="135.19999999999999"/>
    <n v="119.8"/>
    <n v="110.3"/>
    <n v="140.6"/>
    <n v="133.80000000000001"/>
    <n v="154.6"/>
    <s v="Before COVID"/>
    <n v="138.19999999999999"/>
    <n v="163"/>
    <n v="148.1"/>
    <n v="139.4"/>
    <n v="146.80000000000001"/>
    <n v="146.5"/>
    <n v="142.69999999999999"/>
    <n v="143.19999999999999"/>
    <n v="144.9"/>
    <n v="123.6"/>
    <n v="136.80000000000001"/>
    <n v="150.1"/>
    <n v="132.19999999999999"/>
    <n v="136.80000000000001"/>
    <n v="140.1"/>
    <x v="12"/>
    <n v="6.3103192279138822"/>
    <n v="8.8655146506386266"/>
    <n v="4.3037974683544258"/>
    <n v="2.1137026239067098"/>
  </r>
  <r>
    <s v="Rural"/>
    <x v="6"/>
    <x v="0"/>
    <n v="136.6"/>
    <n v="152.5"/>
    <n v="138.19999999999999"/>
    <n v="142.4"/>
    <n v="123.9"/>
    <n v="135.5"/>
    <n v="131.69999999999999"/>
    <n v="121.3"/>
    <n v="108.4"/>
    <n v="138.9"/>
    <n v="137"/>
    <n v="155.80000000000001"/>
    <m/>
    <n v="137.4"/>
    <n v="162.69999999999999"/>
    <n v="150.6"/>
    <n v="145.1"/>
    <n v="149.9"/>
    <s v="NA"/>
    <n v="146.19999999999999"/>
    <n v="150.1"/>
    <n v="149.6"/>
    <n v="128.6"/>
    <n v="142.9"/>
    <n v="155.19999999999999"/>
    <n v="133.5"/>
    <n v="141.69999999999999"/>
    <n v="141"/>
    <x v="0"/>
    <m/>
    <m/>
    <m/>
    <m/>
  </r>
  <r>
    <s v="Urban"/>
    <x v="6"/>
    <x v="0"/>
    <n v="138.30000000000001"/>
    <n v="149.4"/>
    <n v="143.5"/>
    <n v="141.69999999999999"/>
    <n v="118.1"/>
    <n v="135.19999999999999"/>
    <n v="130.5"/>
    <n v="118.2"/>
    <n v="110.4"/>
    <n v="140.4"/>
    <n v="128.1"/>
    <n v="153.19999999999999"/>
    <m/>
    <n v="137.30000000000001"/>
    <n v="164.7"/>
    <n v="143"/>
    <n v="130.4"/>
    <n v="141.1"/>
    <n v="147.69999999999999"/>
    <n v="128.6"/>
    <n v="136.30000000000001"/>
    <n v="137.80000000000001"/>
    <n v="118.6"/>
    <n v="131.9"/>
    <n v="146.6"/>
    <n v="131.69999999999999"/>
    <n v="131.80000000000001"/>
    <n v="138"/>
    <x v="0"/>
    <m/>
    <m/>
    <m/>
    <m/>
  </r>
  <r>
    <s v="Rural+Urban"/>
    <x v="6"/>
    <x v="0"/>
    <n v="137.1"/>
    <n v="151.4"/>
    <n v="140.19999999999999"/>
    <n v="142.1"/>
    <n v="121.8"/>
    <n v="135.4"/>
    <n v="131.30000000000001"/>
    <n v="120.3"/>
    <n v="109.1"/>
    <n v="139.4"/>
    <n v="133.30000000000001"/>
    <n v="154.6"/>
    <s v="Before COVID"/>
    <n v="137.4"/>
    <n v="163.19999999999999"/>
    <n v="147.6"/>
    <n v="139"/>
    <n v="146.4"/>
    <n v="147.69999999999999"/>
    <n v="139.5"/>
    <n v="143.6"/>
    <n v="145.1"/>
    <n v="123.3"/>
    <n v="136.69999999999999"/>
    <n v="150.19999999999999"/>
    <n v="132.80000000000001"/>
    <n v="136.9"/>
    <n v="139.6"/>
    <x v="13"/>
    <n v="6.4492216456634459"/>
    <n v="8.8522130532633021"/>
    <n v="3.3528918692372169"/>
    <n v="1.972242512783045"/>
  </r>
  <r>
    <s v="Rural"/>
    <x v="6"/>
    <x v="1"/>
    <n v="136.80000000000001"/>
    <n v="153"/>
    <n v="139.1"/>
    <n v="142.5"/>
    <n v="124.1"/>
    <n v="135.80000000000001"/>
    <n v="128.69999999999999"/>
    <n v="121.5"/>
    <n v="108.3"/>
    <n v="139.19999999999999"/>
    <n v="137.4"/>
    <n v="156.19999999999999"/>
    <m/>
    <n v="137.19999999999999"/>
    <n v="162.80000000000001"/>
    <n v="150.5"/>
    <n v="146.1"/>
    <n v="149.9"/>
    <s v="NA"/>
    <n v="145.30000000000001"/>
    <n v="150.1"/>
    <n v="149.9"/>
    <n v="129.19999999999999"/>
    <n v="143.4"/>
    <n v="155.5"/>
    <n v="134.9"/>
    <n v="142.19999999999999"/>
    <n v="141"/>
    <x v="0"/>
    <m/>
    <m/>
    <m/>
    <m/>
  </r>
  <r>
    <s v="Urban"/>
    <x v="6"/>
    <x v="1"/>
    <n v="139.4"/>
    <n v="150.1"/>
    <n v="145.30000000000001"/>
    <n v="141.69999999999999"/>
    <n v="118.4"/>
    <n v="137"/>
    <n v="131.6"/>
    <n v="119.9"/>
    <n v="110.4"/>
    <n v="140.80000000000001"/>
    <n v="128.30000000000001"/>
    <n v="153.5"/>
    <m/>
    <n v="138"/>
    <n v="164.9"/>
    <n v="143.30000000000001"/>
    <n v="130.80000000000001"/>
    <n v="141.4"/>
    <n v="148.5"/>
    <n v="127.1"/>
    <n v="136.6"/>
    <n v="138.5"/>
    <n v="119.2"/>
    <n v="132.19999999999999"/>
    <n v="146.6"/>
    <n v="133"/>
    <n v="132.4"/>
    <n v="138.6"/>
    <x v="0"/>
    <m/>
    <m/>
    <m/>
    <m/>
  </r>
  <r>
    <s v="Rural+Urban"/>
    <x v="6"/>
    <x v="1"/>
    <n v="137.6"/>
    <n v="152"/>
    <n v="141.5"/>
    <n v="142.19999999999999"/>
    <n v="122"/>
    <n v="136.4"/>
    <n v="129.69999999999999"/>
    <n v="121"/>
    <n v="109"/>
    <n v="139.69999999999999"/>
    <n v="133.6"/>
    <n v="154.9"/>
    <s v="Before COVID"/>
    <n v="137.5"/>
    <n v="163.4"/>
    <n v="147.69999999999999"/>
    <n v="139.69999999999999"/>
    <n v="146.5"/>
    <n v="148.5"/>
    <n v="138.4"/>
    <n v="143.69999999999999"/>
    <n v="145.6"/>
    <n v="123.9"/>
    <n v="137.1"/>
    <n v="150.30000000000001"/>
    <n v="134.1"/>
    <n v="137.4"/>
    <n v="139.9"/>
    <x v="14"/>
    <n v="6.2869822485207099"/>
    <n v="8.8191330343796572"/>
    <n v="3.0782029950083216"/>
    <n v="2.5659824046920821"/>
  </r>
  <r>
    <s v="Rural"/>
    <x v="6"/>
    <x v="2"/>
    <n v="136.9"/>
    <n v="154.1"/>
    <n v="138.69999999999999"/>
    <n v="142.5"/>
    <n v="124.1"/>
    <n v="136.1"/>
    <n v="128.19999999999999"/>
    <n v="122.3"/>
    <n v="108.3"/>
    <n v="138.9"/>
    <n v="137.4"/>
    <n v="156.4"/>
    <m/>
    <n v="137.30000000000001"/>
    <n v="162.9"/>
    <n v="150.80000000000001"/>
    <n v="146.1"/>
    <n v="150.1"/>
    <s v="NA"/>
    <n v="146.4"/>
    <n v="150"/>
    <n v="150.4"/>
    <n v="129.9"/>
    <n v="143.80000000000001"/>
    <n v="155.5"/>
    <n v="134"/>
    <n v="142.4"/>
    <n v="141.19999999999999"/>
    <x v="0"/>
    <m/>
    <m/>
    <m/>
    <m/>
  </r>
  <r>
    <s v="Urban"/>
    <x v="6"/>
    <x v="2"/>
    <n v="139.69999999999999"/>
    <n v="151.1"/>
    <n v="142.9"/>
    <n v="141.9"/>
    <n v="118.4"/>
    <n v="139.4"/>
    <n v="141.19999999999999"/>
    <n v="120.7"/>
    <n v="110.4"/>
    <n v="140.69999999999999"/>
    <n v="128.5"/>
    <n v="153.9"/>
    <m/>
    <n v="139.6"/>
    <n v="165.3"/>
    <n v="143.5"/>
    <n v="131.19999999999999"/>
    <n v="141.6"/>
    <n v="149"/>
    <n v="128.80000000000001"/>
    <n v="136.80000000000001"/>
    <n v="139.19999999999999"/>
    <n v="119.9"/>
    <n v="133"/>
    <n v="146.69999999999999"/>
    <n v="132.5"/>
    <n v="132.80000000000001"/>
    <n v="139.5"/>
    <x v="0"/>
    <m/>
    <m/>
    <m/>
    <m/>
  </r>
  <r>
    <s v="Rural+Urban"/>
    <x v="6"/>
    <x v="2"/>
    <n v="137.80000000000001"/>
    <n v="153"/>
    <n v="140.30000000000001"/>
    <n v="142.30000000000001"/>
    <n v="122"/>
    <n v="137.6"/>
    <n v="132.6"/>
    <n v="121.8"/>
    <n v="109"/>
    <n v="139.5"/>
    <n v="133.69999999999999"/>
    <n v="155.19999999999999"/>
    <s v="Before COVID"/>
    <n v="138.1"/>
    <n v="163.5"/>
    <n v="147.9"/>
    <n v="139.9"/>
    <n v="146.69999999999999"/>
    <n v="149"/>
    <n v="139.69999999999999"/>
    <n v="143.80000000000001"/>
    <n v="146.19999999999999"/>
    <n v="124.6"/>
    <n v="137.69999999999999"/>
    <n v="150.30000000000001"/>
    <n v="133.4"/>
    <n v="137.69999999999999"/>
    <n v="140.4"/>
    <x v="15"/>
    <n v="6.0471976401180072"/>
    <n v="8.8607594936708676"/>
    <n v="2.9752066115702429"/>
    <n v="2.8571428571428612"/>
  </r>
  <r>
    <s v="Rural"/>
    <x v="6"/>
    <x v="4"/>
    <n v="137.4"/>
    <n v="159.5"/>
    <n v="134.5"/>
    <n v="142.6"/>
    <n v="124"/>
    <n v="143.69999999999999"/>
    <n v="133.4"/>
    <n v="125.1"/>
    <n v="109.3"/>
    <n v="139.30000000000001"/>
    <n v="137.69999999999999"/>
    <n v="156.4"/>
    <m/>
    <n v="139.19999999999999"/>
    <n v="163.30000000000001"/>
    <n v="151.30000000000001"/>
    <n v="146.6"/>
    <n v="150.69999999999999"/>
    <s v="NA"/>
    <n v="146.9"/>
    <n v="149.5"/>
    <n v="151.30000000000001"/>
    <n v="130.19999999999999"/>
    <n v="145.9"/>
    <n v="156.69999999999999"/>
    <n v="133.9"/>
    <n v="142.9"/>
    <n v="142.4"/>
    <x v="0"/>
    <m/>
    <m/>
    <m/>
    <m/>
  </r>
  <r>
    <s v="Urban"/>
    <x v="6"/>
    <x v="4"/>
    <n v="140.4"/>
    <n v="156.69999999999999"/>
    <n v="138.30000000000001"/>
    <n v="142.4"/>
    <n v="118.6"/>
    <n v="149.69999999999999"/>
    <n v="161.6"/>
    <n v="124.4"/>
    <n v="111.2"/>
    <n v="141"/>
    <n v="128.9"/>
    <n v="154.5"/>
    <m/>
    <n v="143.80000000000001"/>
    <n v="166.2"/>
    <n v="144"/>
    <n v="131.69999999999999"/>
    <n v="142.19999999999999"/>
    <n v="150.1"/>
    <n v="129.4"/>
    <n v="137.19999999999999"/>
    <n v="139.80000000000001"/>
    <n v="120.1"/>
    <n v="134"/>
    <n v="148"/>
    <n v="132.6"/>
    <n v="133.30000000000001"/>
    <n v="141.5"/>
    <x v="0"/>
    <m/>
    <m/>
    <m/>
    <m/>
  </r>
  <r>
    <s v="Rural+Urban"/>
    <x v="6"/>
    <x v="4"/>
    <n v="138.30000000000001"/>
    <n v="158.5"/>
    <n v="136"/>
    <n v="142.5"/>
    <n v="122"/>
    <n v="146.5"/>
    <n v="143"/>
    <n v="124.9"/>
    <n v="109.9"/>
    <n v="139.9"/>
    <n v="134"/>
    <n v="155.5"/>
    <s v="Before COVID"/>
    <n v="140.9"/>
    <n v="164.1"/>
    <n v="148.4"/>
    <n v="140.4"/>
    <n v="147.30000000000001"/>
    <n v="150.1"/>
    <n v="140.30000000000001"/>
    <n v="143.69999999999999"/>
    <n v="146.9"/>
    <n v="124.9"/>
    <n v="139.19999999999999"/>
    <n v="151.6"/>
    <n v="133.4"/>
    <n v="138.19999999999999"/>
    <n v="142"/>
    <x v="16"/>
    <n v="5.1976573938506547"/>
    <n v="8.6538461538461675"/>
    <n v="2.4610336341263328"/>
    <n v="3.5740335521517181"/>
  </r>
  <r>
    <s v="Rural"/>
    <x v="6"/>
    <x v="5"/>
    <n v="137.80000000000001"/>
    <n v="163.5"/>
    <n v="136.19999999999999"/>
    <n v="143.19999999999999"/>
    <n v="124.3"/>
    <n v="143.30000000000001"/>
    <n v="140.6"/>
    <n v="128.69999999999999"/>
    <n v="110.6"/>
    <n v="140.4"/>
    <n v="138"/>
    <n v="156.6"/>
    <m/>
    <n v="141"/>
    <n v="164.2"/>
    <n v="151.4"/>
    <n v="146.5"/>
    <n v="150.69999999999999"/>
    <s v="NA"/>
    <n v="147.80000000000001"/>
    <n v="149.6"/>
    <n v="151.69999999999999"/>
    <n v="130.19999999999999"/>
    <n v="146.4"/>
    <n v="157.69999999999999"/>
    <n v="134.80000000000001"/>
    <n v="143.30000000000001"/>
    <n v="143.6"/>
    <x v="0"/>
    <m/>
    <m/>
    <m/>
    <m/>
  </r>
  <r>
    <s v="Urban"/>
    <x v="6"/>
    <x v="5"/>
    <n v="140.69999999999999"/>
    <n v="159.6"/>
    <n v="140.4"/>
    <n v="143.4"/>
    <n v="118.6"/>
    <n v="150.9"/>
    <n v="169.8"/>
    <n v="127.4"/>
    <n v="111.8"/>
    <n v="141"/>
    <n v="129"/>
    <n v="155.1"/>
    <m/>
    <n v="145.6"/>
    <n v="166.7"/>
    <n v="144.30000000000001"/>
    <n v="131.69999999999999"/>
    <n v="142.4"/>
    <n v="149.4"/>
    <n v="130.5"/>
    <n v="137.4"/>
    <n v="140.30000000000001"/>
    <n v="119.6"/>
    <n v="134.30000000000001"/>
    <n v="148.9"/>
    <n v="133.69999999999999"/>
    <n v="133.6"/>
    <n v="142.1"/>
    <x v="0"/>
    <m/>
    <m/>
    <m/>
    <m/>
  </r>
  <r>
    <s v="Rural+Urban"/>
    <x v="6"/>
    <x v="5"/>
    <n v="138.69999999999999"/>
    <n v="162.1"/>
    <n v="137.80000000000001"/>
    <n v="143.30000000000001"/>
    <n v="122.2"/>
    <n v="146.80000000000001"/>
    <n v="150.5"/>
    <n v="128.30000000000001"/>
    <n v="111"/>
    <n v="140.6"/>
    <n v="134.19999999999999"/>
    <n v="155.9"/>
    <s v="Before COVID"/>
    <n v="142.69999999999999"/>
    <n v="164.9"/>
    <n v="148.6"/>
    <n v="140.4"/>
    <n v="147.4"/>
    <n v="149.4"/>
    <n v="141.19999999999999"/>
    <n v="143.80000000000001"/>
    <n v="147.4"/>
    <n v="124.6"/>
    <n v="139.6"/>
    <n v="152.5"/>
    <n v="134.30000000000001"/>
    <n v="138.6"/>
    <n v="142.9"/>
    <x v="17"/>
    <n v="4.6579330422125222"/>
    <n v="8.3823529411764746"/>
    <n v="1.3832384052074764"/>
    <n v="3.7010159651669037"/>
  </r>
  <r>
    <s v="Rural"/>
    <x v="6"/>
    <x v="6"/>
    <n v="138.4"/>
    <n v="164"/>
    <n v="138.4"/>
    <n v="143.9"/>
    <n v="124.4"/>
    <n v="146.4"/>
    <n v="150.1"/>
    <n v="130.6"/>
    <n v="110.8"/>
    <n v="141.69999999999999"/>
    <n v="138.5"/>
    <n v="156.69999999999999"/>
    <m/>
    <n v="143"/>
    <n v="164.5"/>
    <n v="151.6"/>
    <n v="146.6"/>
    <n v="150.9"/>
    <s v="NA"/>
    <n v="146.80000000000001"/>
    <n v="150"/>
    <n v="152.19999999999999"/>
    <n v="131.19999999999999"/>
    <n v="147.5"/>
    <n v="159.1"/>
    <n v="136.1"/>
    <n v="144.19999999999999"/>
    <n v="144.9"/>
    <x v="0"/>
    <m/>
    <m/>
    <m/>
    <m/>
  </r>
  <r>
    <s v="Urban"/>
    <x v="6"/>
    <x v="6"/>
    <n v="141.4"/>
    <n v="160.19999999999999"/>
    <n v="142.5"/>
    <n v="144.1"/>
    <n v="119.3"/>
    <n v="154.69999999999999"/>
    <n v="180.1"/>
    <n v="128.9"/>
    <n v="111.8"/>
    <n v="141.6"/>
    <n v="129.5"/>
    <n v="155.6"/>
    <m/>
    <n v="147.69999999999999"/>
    <n v="167.2"/>
    <n v="144.69999999999999"/>
    <n v="131.9"/>
    <n v="142.69999999999999"/>
    <n v="150.6"/>
    <n v="127"/>
    <n v="137.69999999999999"/>
    <n v="140.80000000000001"/>
    <n v="120.6"/>
    <n v="135"/>
    <n v="150.4"/>
    <n v="135.1"/>
    <n v="134.5"/>
    <n v="143.30000000000001"/>
    <x v="0"/>
    <m/>
    <m/>
    <m/>
    <m/>
  </r>
  <r>
    <s v="Rural+Urban"/>
    <x v="6"/>
    <x v="6"/>
    <n v="139.30000000000001"/>
    <n v="162.69999999999999"/>
    <n v="140"/>
    <n v="144"/>
    <n v="122.5"/>
    <n v="150.30000000000001"/>
    <n v="160.30000000000001"/>
    <n v="130"/>
    <n v="111.1"/>
    <n v="141.69999999999999"/>
    <n v="134.69999999999999"/>
    <n v="156.19999999999999"/>
    <s v="Before COVID"/>
    <n v="144.69999999999999"/>
    <n v="165.2"/>
    <n v="148.9"/>
    <n v="140.5"/>
    <n v="147.6"/>
    <n v="150.6"/>
    <n v="139.30000000000001"/>
    <n v="144.19999999999999"/>
    <n v="147.9"/>
    <n v="125.6"/>
    <n v="140.5"/>
    <n v="154"/>
    <n v="135.69999999999999"/>
    <n v="139.5"/>
    <n v="144.19999999999999"/>
    <x v="18"/>
    <n v="4.5685279187817134"/>
    <n v="8.590308370044065"/>
    <n v="1.5359741309619979"/>
    <n v="4.115523465703963"/>
  </r>
  <r>
    <s v="Rural"/>
    <x v="6"/>
    <x v="7"/>
    <n v="139.19999999999999"/>
    <n v="161.9"/>
    <n v="137.1"/>
    <n v="144.6"/>
    <n v="124.7"/>
    <n v="145.5"/>
    <n v="156.19999999999999"/>
    <n v="131.5"/>
    <n v="111.7"/>
    <n v="142.69999999999999"/>
    <n v="138.5"/>
    <n v="156.9"/>
    <m/>
    <n v="144"/>
    <n v="165.1"/>
    <n v="151.80000000000001"/>
    <n v="146.6"/>
    <n v="151.1"/>
    <s v="NA"/>
    <n v="146.4"/>
    <n v="150.19999999999999"/>
    <n v="152.69999999999999"/>
    <n v="131.4"/>
    <n v="148"/>
    <n v="159.69999999999999"/>
    <n v="138.80000000000001"/>
    <n v="144.9"/>
    <n v="145.69999999999999"/>
    <x v="0"/>
    <m/>
    <m/>
    <m/>
    <m/>
  </r>
  <r>
    <s v="Urban"/>
    <x v="6"/>
    <x v="7"/>
    <n v="142.1"/>
    <n v="158.30000000000001"/>
    <n v="140.80000000000001"/>
    <n v="144.9"/>
    <n v="119.9"/>
    <n v="153.9"/>
    <n v="189.1"/>
    <n v="129.80000000000001"/>
    <n v="112.7"/>
    <n v="142.5"/>
    <n v="129.80000000000001"/>
    <n v="156.19999999999999"/>
    <m/>
    <n v="149.1"/>
    <n v="167.9"/>
    <n v="145"/>
    <n v="132.19999999999999"/>
    <n v="143"/>
    <n v="151.6"/>
    <n v="125.5"/>
    <n v="138.1"/>
    <n v="141.5"/>
    <n v="120.8"/>
    <n v="135.4"/>
    <n v="151.5"/>
    <n v="137.80000000000001"/>
    <n v="135.30000000000001"/>
    <n v="144.19999999999999"/>
    <x v="0"/>
    <m/>
    <m/>
    <m/>
    <m/>
  </r>
  <r>
    <s v="Rural+Urban"/>
    <x v="6"/>
    <x v="7"/>
    <n v="140.1"/>
    <n v="160.6"/>
    <n v="138.5"/>
    <n v="144.69999999999999"/>
    <n v="122.9"/>
    <n v="149.4"/>
    <n v="167.4"/>
    <n v="130.9"/>
    <n v="112"/>
    <n v="142.6"/>
    <n v="134.9"/>
    <n v="156.6"/>
    <s v="Before COVID"/>
    <n v="145.9"/>
    <n v="165.8"/>
    <n v="149.1"/>
    <n v="140.6"/>
    <n v="147.9"/>
    <n v="151.6"/>
    <n v="138.5"/>
    <n v="144.5"/>
    <n v="148.5"/>
    <n v="125.8"/>
    <n v="140.9"/>
    <n v="154.9"/>
    <n v="138.4"/>
    <n v="140.19999999999999"/>
    <n v="145"/>
    <x v="19"/>
    <n v="4.2568542568542611"/>
    <n v="8.3941605839416056"/>
    <n v="1.7799352750809085"/>
    <n v="3.7195994277539257"/>
  </r>
  <r>
    <s v="Rural"/>
    <x v="6"/>
    <x v="8"/>
    <n v="140.1"/>
    <n v="161.9"/>
    <n v="138.30000000000001"/>
    <n v="145.69999999999999"/>
    <n v="125.1"/>
    <n v="143.80000000000001"/>
    <n v="163.4"/>
    <n v="132.19999999999999"/>
    <n v="112.8"/>
    <n v="144.19999999999999"/>
    <n v="138.5"/>
    <n v="157.19999999999999"/>
    <m/>
    <n v="145.5"/>
    <n v="165.7"/>
    <n v="151.69999999999999"/>
    <n v="146.6"/>
    <n v="151"/>
    <s v="NA"/>
    <n v="146.9"/>
    <n v="150.30000000000001"/>
    <n v="153.4"/>
    <n v="131.6"/>
    <n v="148.30000000000001"/>
    <n v="160.19999999999999"/>
    <n v="140.19999999999999"/>
    <n v="145.4"/>
    <n v="146.69999999999999"/>
    <x v="0"/>
    <m/>
    <m/>
    <m/>
    <m/>
  </r>
  <r>
    <s v="Urban"/>
    <x v="6"/>
    <x v="8"/>
    <n v="142.69999999999999"/>
    <n v="158.69999999999999"/>
    <n v="141.6"/>
    <n v="144.9"/>
    <n v="120.8"/>
    <n v="149.80000000000001"/>
    <n v="192.4"/>
    <n v="130.30000000000001"/>
    <n v="114"/>
    <n v="143.80000000000001"/>
    <n v="130"/>
    <n v="156.4"/>
    <m/>
    <n v="149.5"/>
    <n v="168.6"/>
    <n v="145.30000000000001"/>
    <n v="132.19999999999999"/>
    <n v="143.30000000000001"/>
    <n v="152.19999999999999"/>
    <n v="126.6"/>
    <n v="138.30000000000001"/>
    <n v="141.9"/>
    <n v="121.2"/>
    <n v="135.9"/>
    <n v="151.6"/>
    <n v="139"/>
    <n v="135.69999999999999"/>
    <n v="144.69999999999999"/>
    <x v="0"/>
    <m/>
    <m/>
    <m/>
    <m/>
  </r>
  <r>
    <s v="Rural+Urban"/>
    <x v="6"/>
    <x v="8"/>
    <n v="140.9"/>
    <n v="160.80000000000001"/>
    <n v="139.6"/>
    <n v="145.4"/>
    <n v="123.5"/>
    <n v="146.6"/>
    <n v="173.2"/>
    <n v="131.6"/>
    <n v="113.2"/>
    <n v="144.1"/>
    <n v="135"/>
    <n v="156.80000000000001"/>
    <s v="Before COVID"/>
    <n v="147"/>
    <n v="166.5"/>
    <n v="149.19999999999999"/>
    <n v="140.6"/>
    <n v="147.9"/>
    <n v="152.19999999999999"/>
    <n v="139.19999999999999"/>
    <n v="144.6"/>
    <n v="149"/>
    <n v="126.1"/>
    <n v="141.30000000000001"/>
    <n v="155.19999999999999"/>
    <n v="139.69999999999999"/>
    <n v="140.69999999999999"/>
    <n v="145.80000000000001"/>
    <x v="20"/>
    <n v="3.7302725968436068"/>
    <n v="8.2062454611474305"/>
    <n v="1.4481094127111804"/>
    <n v="3.8461538461538498"/>
  </r>
  <r>
    <s v="Rural"/>
    <x v="6"/>
    <x v="9"/>
    <n v="141"/>
    <n v="161.6"/>
    <n v="141.19999999999999"/>
    <n v="146.5"/>
    <n v="125.6"/>
    <n v="145.69999999999999"/>
    <n v="178.8"/>
    <n v="133.1"/>
    <n v="113.6"/>
    <n v="145.5"/>
    <n v="138.6"/>
    <n v="157.4"/>
    <m/>
    <n v="148.30000000000001"/>
    <n v="166.3"/>
    <n v="151.69999999999999"/>
    <n v="146.69999999999999"/>
    <n v="151"/>
    <s v="NA"/>
    <n v="147.69999999999999"/>
    <n v="150.6"/>
    <n v="153.69999999999999"/>
    <n v="131.69999999999999"/>
    <n v="148.69999999999999"/>
    <n v="160.69999999999999"/>
    <n v="140.30000000000001"/>
    <n v="145.69999999999999"/>
    <n v="148.30000000000001"/>
    <x v="0"/>
    <m/>
    <m/>
    <m/>
    <m/>
  </r>
  <r>
    <s v="Urban"/>
    <x v="6"/>
    <x v="9"/>
    <n v="143.5"/>
    <n v="159.80000000000001"/>
    <n v="144.69999999999999"/>
    <n v="145.6"/>
    <n v="121.1"/>
    <n v="150.6"/>
    <n v="207.2"/>
    <n v="131.19999999999999"/>
    <n v="114.8"/>
    <n v="145.19999999999999"/>
    <n v="130.19999999999999"/>
    <n v="156.80000000000001"/>
    <m/>
    <n v="151.9"/>
    <n v="169.3"/>
    <n v="145.9"/>
    <n v="132.4"/>
    <n v="143.9"/>
    <n v="153"/>
    <n v="128.9"/>
    <n v="138.69999999999999"/>
    <n v="142.4"/>
    <n v="121.5"/>
    <n v="136.19999999999999"/>
    <n v="151.69999999999999"/>
    <n v="139.5"/>
    <n v="136"/>
    <n v="146"/>
    <x v="0"/>
    <m/>
    <m/>
    <m/>
    <m/>
  </r>
  <r>
    <s v="Rural+Urban"/>
    <x v="6"/>
    <x v="9"/>
    <n v="141.80000000000001"/>
    <n v="161"/>
    <n v="142.6"/>
    <n v="146.19999999999999"/>
    <n v="123.9"/>
    <n v="148"/>
    <n v="188.4"/>
    <n v="132.5"/>
    <n v="114"/>
    <n v="145.4"/>
    <n v="135.1"/>
    <n v="157.1"/>
    <s v="Before COVID"/>
    <n v="149.6"/>
    <n v="167.1"/>
    <n v="149.4"/>
    <n v="140.80000000000001"/>
    <n v="148.19999999999999"/>
    <n v="153"/>
    <n v="140.6"/>
    <n v="145"/>
    <n v="149.4"/>
    <n v="126.3"/>
    <n v="141.69999999999999"/>
    <n v="155.4"/>
    <n v="140"/>
    <n v="141"/>
    <n v="147.19999999999999"/>
    <x v="21"/>
    <n v="3.7938439513242743"/>
    <n v="7.9479768786127174"/>
    <n v="0.23809523809523581"/>
    <n v="4.9928673323823114"/>
  </r>
  <r>
    <s v="Rural"/>
    <x v="6"/>
    <x v="11"/>
    <n v="141.80000000000001"/>
    <n v="163.69999999999999"/>
    <n v="143.80000000000001"/>
    <n v="147.1"/>
    <n v="126"/>
    <n v="146.19999999999999"/>
    <n v="191.4"/>
    <n v="136.19999999999999"/>
    <n v="113.8"/>
    <n v="147.30000000000001"/>
    <n v="138.69999999999999"/>
    <n v="157.69999999999999"/>
    <m/>
    <n v="150.9"/>
    <n v="167.2"/>
    <n v="152.30000000000001"/>
    <n v="147"/>
    <n v="151.5"/>
    <s v="NA"/>
    <n v="148.4"/>
    <n v="150.9"/>
    <n v="154.30000000000001"/>
    <n v="132.1"/>
    <n v="149.1"/>
    <n v="160.80000000000001"/>
    <n v="140.6"/>
    <n v="146.1"/>
    <n v="149.9"/>
    <x v="0"/>
    <m/>
    <m/>
    <m/>
    <m/>
  </r>
  <r>
    <s v="Urban"/>
    <x v="6"/>
    <x v="11"/>
    <n v="144.1"/>
    <n v="162.4"/>
    <n v="148.4"/>
    <n v="145.9"/>
    <n v="121.5"/>
    <n v="148.80000000000001"/>
    <n v="215.7"/>
    <n v="134.6"/>
    <n v="115"/>
    <n v="146.30000000000001"/>
    <n v="130.5"/>
    <n v="157.19999999999999"/>
    <m/>
    <n v="153.6"/>
    <n v="169.9"/>
    <n v="146.30000000000001"/>
    <n v="132.6"/>
    <n v="144.19999999999999"/>
    <n v="153.5"/>
    <n v="132.19999999999999"/>
    <n v="139.1"/>
    <n v="142.80000000000001"/>
    <n v="121.7"/>
    <n v="136.69999999999999"/>
    <n v="151.80000000000001"/>
    <n v="139.80000000000001"/>
    <n v="136.30000000000001"/>
    <n v="147"/>
    <x v="0"/>
    <m/>
    <m/>
    <m/>
    <m/>
  </r>
  <r>
    <s v="Rural+Urban"/>
    <x v="6"/>
    <x v="11"/>
    <n v="142.5"/>
    <n v="163.19999999999999"/>
    <n v="145.6"/>
    <n v="146.69999999999999"/>
    <n v="124.3"/>
    <n v="147.4"/>
    <n v="199.6"/>
    <n v="135.69999999999999"/>
    <n v="114.2"/>
    <n v="147"/>
    <n v="135.30000000000001"/>
    <n v="157.5"/>
    <s v="Before COVID"/>
    <n v="151.9"/>
    <n v="167.9"/>
    <n v="149.9"/>
    <n v="141"/>
    <n v="148.6"/>
    <n v="153.5"/>
    <n v="142.30000000000001"/>
    <n v="145.30000000000001"/>
    <n v="149.9"/>
    <n v="126.6"/>
    <n v="142.1"/>
    <n v="155.5"/>
    <n v="140.30000000000001"/>
    <n v="141.30000000000001"/>
    <n v="148.6"/>
    <x v="22"/>
    <n v="2.1800281293952342"/>
    <n v="5.489092188599586"/>
    <n v="0.87649402390437803"/>
    <n v="5.5397727272727151"/>
  </r>
  <r>
    <s v="Rural"/>
    <x v="6"/>
    <x v="12"/>
    <n v="142.80000000000001"/>
    <n v="165.3"/>
    <n v="149.5"/>
    <n v="148.69999999999999"/>
    <n v="127.5"/>
    <n v="144.30000000000001"/>
    <n v="209.5"/>
    <n v="138.80000000000001"/>
    <n v="113.6"/>
    <n v="149.1"/>
    <n v="139.30000000000001"/>
    <n v="158.30000000000001"/>
    <m/>
    <n v="154.30000000000001"/>
    <n v="167.8"/>
    <n v="152.6"/>
    <n v="147.30000000000001"/>
    <n v="151.9"/>
    <s v="NA"/>
    <n v="149.9"/>
    <n v="151.19999999999999"/>
    <n v="154.80000000000001"/>
    <n v="135"/>
    <n v="149.5"/>
    <n v="161.1"/>
    <n v="140.6"/>
    <n v="147.1"/>
    <n v="152.30000000000001"/>
    <x v="0"/>
    <m/>
    <m/>
    <m/>
    <m/>
  </r>
  <r>
    <s v="Urban"/>
    <x v="6"/>
    <x v="12"/>
    <n v="144.9"/>
    <n v="164.5"/>
    <n v="153.69999999999999"/>
    <n v="147.5"/>
    <n v="122.7"/>
    <n v="147.19999999999999"/>
    <n v="231.5"/>
    <n v="137.19999999999999"/>
    <n v="114.7"/>
    <n v="148"/>
    <n v="130.80000000000001"/>
    <n v="157.69999999999999"/>
    <m/>
    <n v="156.30000000000001"/>
    <n v="170.4"/>
    <n v="146.80000000000001"/>
    <n v="132.80000000000001"/>
    <n v="144.6"/>
    <n v="152.80000000000001"/>
    <n v="133.6"/>
    <n v="139.80000000000001"/>
    <n v="143.19999999999999"/>
    <n v="125.2"/>
    <n v="136.80000000000001"/>
    <n v="151.9"/>
    <n v="140.19999999999999"/>
    <n v="137.69999999999999"/>
    <n v="148.30000000000001"/>
    <x v="0"/>
    <m/>
    <m/>
    <m/>
    <m/>
  </r>
  <r>
    <s v="Rural+Urban"/>
    <x v="6"/>
    <x v="12"/>
    <n v="143.5"/>
    <n v="165"/>
    <n v="151.1"/>
    <n v="148.30000000000001"/>
    <n v="125.7"/>
    <n v="145.69999999999999"/>
    <n v="217"/>
    <n v="138.30000000000001"/>
    <n v="114"/>
    <n v="148.69999999999999"/>
    <n v="135.80000000000001"/>
    <n v="158"/>
    <s v="Before COVID"/>
    <n v="155"/>
    <n v="168.5"/>
    <n v="150.30000000000001"/>
    <n v="141.30000000000001"/>
    <n v="149"/>
    <n v="152.80000000000001"/>
    <n v="143.69999999999999"/>
    <n v="145.80000000000001"/>
    <n v="150.4"/>
    <n v="129.80000000000001"/>
    <n v="142.30000000000001"/>
    <n v="155.69999999999999"/>
    <n v="140.4"/>
    <n v="142.5"/>
    <n v="150.4"/>
    <x v="23"/>
    <n v="2.5316455696202693"/>
    <n v="5.8409570724841746"/>
    <n v="3.4262948207171409"/>
    <n v="6.8181818181818139"/>
  </r>
  <r>
    <s v="Rural"/>
    <x v="7"/>
    <x v="0"/>
    <n v="143.69999999999999"/>
    <n v="167.3"/>
    <n v="153.5"/>
    <n v="150.5"/>
    <n v="132"/>
    <n v="142.19999999999999"/>
    <n v="191.5"/>
    <n v="141.1"/>
    <n v="113.8"/>
    <n v="151.6"/>
    <n v="139.69999999999999"/>
    <n v="158.69999999999999"/>
    <m/>
    <n v="153"/>
    <n v="168.6"/>
    <n v="152.80000000000001"/>
    <n v="147.4"/>
    <n v="152.1"/>
    <s v="NA"/>
    <n v="150.4"/>
    <n v="151.69999999999999"/>
    <n v="155.69999999999999"/>
    <n v="136.30000000000001"/>
    <n v="150.1"/>
    <n v="161.69999999999999"/>
    <n v="142.5"/>
    <n v="148.1"/>
    <n v="151.9"/>
    <x v="0"/>
    <m/>
    <m/>
    <m/>
    <m/>
  </r>
  <r>
    <s v="Urban"/>
    <x v="7"/>
    <x v="0"/>
    <n v="145.6"/>
    <n v="167.6"/>
    <n v="157"/>
    <n v="149.30000000000001"/>
    <n v="126.3"/>
    <n v="144.4"/>
    <n v="207.8"/>
    <n v="139.1"/>
    <n v="114.8"/>
    <n v="149.5"/>
    <n v="131.1"/>
    <n v="158.5"/>
    <m/>
    <n v="154.4"/>
    <n v="170.8"/>
    <n v="147"/>
    <n v="133.19999999999999"/>
    <n v="144.9"/>
    <n v="153.9"/>
    <n v="135.1"/>
    <n v="140.1"/>
    <n v="143.80000000000001"/>
    <n v="126.1"/>
    <n v="137.19999999999999"/>
    <n v="152.1"/>
    <n v="142.1"/>
    <n v="138.4"/>
    <n v="148.19999999999999"/>
    <x v="0"/>
    <m/>
    <m/>
    <m/>
    <m/>
  </r>
  <r>
    <s v="Rural+Urban"/>
    <x v="7"/>
    <x v="0"/>
    <n v="144.30000000000001"/>
    <n v="167.4"/>
    <n v="154.9"/>
    <n v="150.1"/>
    <n v="129.9"/>
    <n v="143.19999999999999"/>
    <n v="197"/>
    <n v="140.4"/>
    <n v="114.1"/>
    <n v="150.9"/>
    <n v="136.1"/>
    <n v="158.6"/>
    <s v="Before COVID"/>
    <n v="153.5"/>
    <n v="169.2"/>
    <n v="150.5"/>
    <n v="141.5"/>
    <n v="149.19999999999999"/>
    <n v="153.9"/>
    <n v="144.6"/>
    <n v="146.19999999999999"/>
    <n v="151.19999999999999"/>
    <n v="130.9"/>
    <n v="142.80000000000001"/>
    <n v="156.1"/>
    <n v="142.30000000000001"/>
    <n v="143.4"/>
    <n v="150.19999999999999"/>
    <x v="24"/>
    <n v="2.0949720670391065"/>
    <n v="4.34782608695651"/>
    <n v="5.9061488673139255"/>
    <n v="7.2091363311920027"/>
  </r>
  <r>
    <s v="Rural"/>
    <x v="7"/>
    <x v="1"/>
    <n v="144.19999999999999"/>
    <n v="167.5"/>
    <n v="150.9"/>
    <n v="150.9"/>
    <n v="133.69999999999999"/>
    <n v="140.69999999999999"/>
    <n v="165.1"/>
    <n v="141.80000000000001"/>
    <n v="113.1"/>
    <n v="152.80000000000001"/>
    <n v="140.1"/>
    <n v="159.19999999999999"/>
    <m/>
    <n v="149.80000000000001"/>
    <n v="169.4"/>
    <n v="153"/>
    <n v="147.5"/>
    <n v="152.30000000000001"/>
    <s v="NA"/>
    <n v="152.30000000000001"/>
    <n v="151.80000000000001"/>
    <n v="156.19999999999999"/>
    <n v="136"/>
    <n v="150.4"/>
    <n v="161.9"/>
    <n v="143.4"/>
    <n v="148.4"/>
    <n v="150.4"/>
    <x v="0"/>
    <m/>
    <m/>
    <m/>
    <m/>
  </r>
  <r>
    <s v="Urban"/>
    <x v="7"/>
    <x v="1"/>
    <n v="146.19999999999999"/>
    <n v="167.6"/>
    <n v="153.1"/>
    <n v="150.69999999999999"/>
    <n v="127.4"/>
    <n v="143.1"/>
    <n v="181.7"/>
    <n v="139.6"/>
    <n v="114.6"/>
    <n v="150.4"/>
    <n v="131.5"/>
    <n v="159"/>
    <m/>
    <n v="151.69999999999999"/>
    <n v="172"/>
    <n v="147.30000000000001"/>
    <n v="133.5"/>
    <n v="145.19999999999999"/>
    <n v="154.80000000000001"/>
    <n v="138.9"/>
    <n v="140.4"/>
    <n v="144.4"/>
    <n v="125.2"/>
    <n v="137.69999999999999"/>
    <n v="152.19999999999999"/>
    <n v="143.5"/>
    <n v="138.4"/>
    <n v="147.69999999999999"/>
    <x v="0"/>
    <m/>
    <m/>
    <m/>
    <m/>
  </r>
  <r>
    <s v="Rural+Urban"/>
    <x v="7"/>
    <x v="1"/>
    <n v="144.80000000000001"/>
    <n v="167.5"/>
    <n v="151.80000000000001"/>
    <n v="150.80000000000001"/>
    <n v="131.4"/>
    <n v="141.80000000000001"/>
    <n v="170.7"/>
    <n v="141.1"/>
    <n v="113.6"/>
    <n v="152"/>
    <n v="136.5"/>
    <n v="159.1"/>
    <s v="Before COVID"/>
    <n v="150.5"/>
    <n v="170.1"/>
    <n v="150.80000000000001"/>
    <n v="141.69999999999999"/>
    <n v="149.5"/>
    <n v="154.80000000000001"/>
    <n v="147.19999999999999"/>
    <n v="146.4"/>
    <n v="151.69999999999999"/>
    <n v="130.30000000000001"/>
    <n v="143.19999999999999"/>
    <n v="156.19999999999999"/>
    <n v="143.4"/>
    <n v="143.6"/>
    <n v="149.1"/>
    <x v="25"/>
    <n v="1.9498607242339914"/>
    <n v="4.5485871812543035"/>
    <n v="5.677210056772112"/>
    <n v="6.8051575931232096"/>
  </r>
  <r>
    <s v="Rural"/>
    <x v="7"/>
    <x v="2"/>
    <n v="144.4"/>
    <n v="166.8"/>
    <n v="147.6"/>
    <n v="151.69999999999999"/>
    <n v="133.30000000000001"/>
    <n v="141.80000000000001"/>
    <n v="152.30000000000001"/>
    <n v="141.80000000000001"/>
    <n v="112.6"/>
    <n v="154"/>
    <n v="140.1"/>
    <n v="160"/>
    <m/>
    <n v="148.19999999999999"/>
    <n v="170.5"/>
    <n v="153.4"/>
    <n v="147.6"/>
    <n v="152.5"/>
    <s v="NA"/>
    <n v="153.4"/>
    <n v="151.5"/>
    <n v="156.69999999999999"/>
    <n v="135.80000000000001"/>
    <n v="151.19999999999999"/>
    <n v="161.19999999999999"/>
    <n v="145.1"/>
    <n v="148.6"/>
    <n v="149.80000000000001"/>
    <x v="0"/>
    <m/>
    <m/>
    <m/>
    <m/>
  </r>
  <r>
    <s v="Urban"/>
    <x v="7"/>
    <x v="2"/>
    <n v="146.5"/>
    <n v="167.5"/>
    <n v="148.9"/>
    <n v="151.1"/>
    <n v="127.5"/>
    <n v="143.30000000000001"/>
    <n v="167"/>
    <n v="139.69999999999999"/>
    <n v="114.4"/>
    <n v="151.5"/>
    <n v="131.9"/>
    <n v="159.1"/>
    <m/>
    <n v="150.1"/>
    <n v="173.3"/>
    <n v="147.69999999999999"/>
    <n v="133.80000000000001"/>
    <n v="145.6"/>
    <n v="154.5"/>
    <n v="141.4"/>
    <n v="140.80000000000001"/>
    <n v="145"/>
    <n v="124.6"/>
    <n v="137.9"/>
    <n v="152.5"/>
    <n v="145.30000000000001"/>
    <n v="138.69999999999999"/>
    <n v="147.30000000000001"/>
    <x v="0"/>
    <m/>
    <m/>
    <m/>
    <m/>
  </r>
  <r>
    <s v="Rural+Urban"/>
    <x v="7"/>
    <x v="2"/>
    <n v="145.1"/>
    <n v="167"/>
    <n v="148.1"/>
    <n v="151.5"/>
    <n v="131.19999999999999"/>
    <n v="142.5"/>
    <n v="157.30000000000001"/>
    <n v="141.1"/>
    <n v="113.2"/>
    <n v="153.19999999999999"/>
    <n v="136.69999999999999"/>
    <n v="159.6"/>
    <s v="After COVID"/>
    <n v="148.9"/>
    <n v="171.2"/>
    <n v="151.19999999999999"/>
    <n v="141.9"/>
    <n v="149.80000000000001"/>
    <n v="154.5"/>
    <n v="148.9"/>
    <n v="146.4"/>
    <n v="152.30000000000001"/>
    <n v="129.9"/>
    <n v="143.69999999999999"/>
    <n v="156.1"/>
    <n v="145.19999999999999"/>
    <n v="143.80000000000001"/>
    <n v="148.6"/>
    <x v="26"/>
    <n v="1.8789144050104505"/>
    <n v="4.6016483516483637"/>
    <n v="4.8426150121065374"/>
    <n v="6.2187276626161463"/>
  </r>
  <r>
    <s v="Rural"/>
    <x v="7"/>
    <x v="3"/>
    <n v="147.19999999999999"/>
    <s v="NA"/>
    <n v="146.9"/>
    <n v="155.6"/>
    <n v="137.1"/>
    <n v="147.30000000000001"/>
    <n v="162.69999999999999"/>
    <n v="150.19999999999999"/>
    <n v="119.8"/>
    <n v="158.69999999999999"/>
    <n v="139.19999999999999"/>
    <s v="NA"/>
    <m/>
    <n v="150.1"/>
    <s v="NA"/>
    <s v="NA"/>
    <s v="NA"/>
    <s v="NA"/>
    <s v="NA"/>
    <n v="148.4"/>
    <s v="NA"/>
    <n v="154.30000000000001"/>
    <s v="NA"/>
    <s v="NA"/>
    <s v="NA"/>
    <s v="NA"/>
    <s v="NA"/>
    <s v="NA"/>
    <x v="0"/>
    <m/>
    <m/>
    <m/>
    <m/>
  </r>
  <r>
    <s v="Urban"/>
    <x v="7"/>
    <x v="3"/>
    <n v="151.80000000000001"/>
    <s v="NA"/>
    <n v="151.9"/>
    <n v="155.5"/>
    <n v="131.6"/>
    <n v="152.9"/>
    <n v="180"/>
    <n v="150.80000000000001"/>
    <n v="121.2"/>
    <n v="154"/>
    <n v="133.5"/>
    <s v="NA"/>
    <m/>
    <n v="153.5"/>
    <s v="NA"/>
    <s v="NA"/>
    <s v="NA"/>
    <s v="NA"/>
    <n v="155.6"/>
    <n v="137.1"/>
    <s v="NA"/>
    <n v="144.80000000000001"/>
    <s v="NA"/>
    <s v="NA"/>
    <s v="NA"/>
    <s v="NA"/>
    <s v="NA"/>
    <s v="NA"/>
    <x v="0"/>
    <m/>
    <m/>
    <m/>
    <m/>
  </r>
  <r>
    <s v="Rural+Urban"/>
    <x v="7"/>
    <x v="3"/>
    <n v="148.69999999999999"/>
    <s v="NA"/>
    <n v="148.80000000000001"/>
    <n v="155.6"/>
    <n v="135.1"/>
    <n v="149.9"/>
    <n v="168.6"/>
    <n v="150.4"/>
    <n v="120.3"/>
    <n v="157.1"/>
    <n v="136.80000000000001"/>
    <s v="NA"/>
    <s v="After COVID"/>
    <n v="151.4"/>
    <s v="NA"/>
    <s v="NA"/>
    <s v="NA"/>
    <s v="NA"/>
    <n v="155.6"/>
    <n v="144.1"/>
    <s v="NA"/>
    <n v="150.69999999999999"/>
    <s v="NA"/>
    <s v="NA"/>
    <s v="NA"/>
    <s v="NA"/>
    <s v="NA"/>
    <s v="NA"/>
    <x v="27"/>
    <m/>
    <n v="3.0779753761969908"/>
    <m/>
    <m/>
  </r>
  <r>
    <s v="Rural"/>
    <x v="7"/>
    <x v="4"/>
    <s v="NA"/>
    <s v="NA"/>
    <s v="NA"/>
    <s v="NA"/>
    <s v="NA"/>
    <s v="NA"/>
    <s v="NA"/>
    <s v="NA"/>
    <s v="NA"/>
    <s v="NA"/>
    <s v="NA"/>
    <s v="NA"/>
    <m/>
    <s v="NA"/>
    <s v="NA"/>
    <s v="NA"/>
    <s v="NA"/>
    <s v="NA"/>
    <s v="NA"/>
    <s v="NA"/>
    <s v="NA"/>
    <s v="NA"/>
    <s v="NA"/>
    <s v="NA"/>
    <s v="NA"/>
    <s v="NA"/>
    <s v="NA"/>
    <s v="NA"/>
    <x v="0"/>
    <m/>
    <m/>
    <m/>
    <m/>
  </r>
  <r>
    <s v="Urban"/>
    <x v="7"/>
    <x v="4"/>
    <s v="NA"/>
    <s v="NA"/>
    <s v="NA"/>
    <s v="NA"/>
    <s v="NA"/>
    <s v="NA"/>
    <s v="NA"/>
    <s v="NA"/>
    <s v="NA"/>
    <s v="NA"/>
    <s v="NA"/>
    <s v="NA"/>
    <m/>
    <s v="NA"/>
    <s v="NA"/>
    <s v="NA"/>
    <s v="NA"/>
    <s v="NA"/>
    <s v="NA"/>
    <s v="NA"/>
    <s v="NA"/>
    <s v="NA"/>
    <s v="NA"/>
    <s v="NA"/>
    <s v="NA"/>
    <s v="NA"/>
    <s v="NA"/>
    <s v="NA"/>
    <x v="0"/>
    <m/>
    <m/>
    <m/>
    <m/>
  </r>
  <r>
    <s v="Rural+Urban"/>
    <x v="7"/>
    <x v="4"/>
    <s v="NA"/>
    <s v="NA"/>
    <s v="NA"/>
    <s v="NA"/>
    <s v="NA"/>
    <s v="NA"/>
    <s v="NA"/>
    <s v="NA"/>
    <s v="NA"/>
    <s v="NA"/>
    <s v="NA"/>
    <s v="NA"/>
    <s v="After COVID"/>
    <s v="NA"/>
    <s v="NA"/>
    <s v="NA"/>
    <s v="NA"/>
    <s v="NA"/>
    <s v="NA"/>
    <s v="NA"/>
    <s v="NA"/>
    <m/>
    <m/>
    <s v="NA"/>
    <s v="NA"/>
    <s v="NA"/>
    <s v="NA"/>
    <m/>
    <x v="0"/>
    <m/>
    <m/>
    <m/>
    <m/>
  </r>
  <r>
    <s v="Rural"/>
    <x v="7"/>
    <x v="5"/>
    <n v="148.19999999999999"/>
    <n v="190.3"/>
    <n v="149.4"/>
    <n v="153.30000000000001"/>
    <n v="138.19999999999999"/>
    <n v="143.19999999999999"/>
    <n v="148.9"/>
    <n v="150.30000000000001"/>
    <n v="113.2"/>
    <n v="159.80000000000001"/>
    <n v="142.1"/>
    <n v="161.80000000000001"/>
    <m/>
    <n v="152.30000000000001"/>
    <n v="182.4"/>
    <n v="154.69999999999999"/>
    <n v="150"/>
    <n v="154.1"/>
    <s v="NA"/>
    <n v="144.9"/>
    <n v="151.69999999999999"/>
    <n v="158.19999999999999"/>
    <n v="141.4"/>
    <n v="153.19999999999999"/>
    <n v="161.80000000000001"/>
    <n v="151.19999999999999"/>
    <n v="151.69999999999999"/>
    <n v="152.69999999999999"/>
    <x v="0"/>
    <m/>
    <m/>
    <m/>
    <m/>
  </r>
  <r>
    <s v="Urban"/>
    <x v="7"/>
    <x v="5"/>
    <n v="152.69999999999999"/>
    <n v="197"/>
    <n v="154.6"/>
    <n v="153.4"/>
    <n v="132.9"/>
    <n v="151.80000000000001"/>
    <n v="171.2"/>
    <n v="152"/>
    <n v="116.3"/>
    <n v="158.80000000000001"/>
    <n v="135.6"/>
    <n v="161.69999999999999"/>
    <m/>
    <n v="157"/>
    <n v="186.7"/>
    <n v="149.1"/>
    <n v="136.6"/>
    <n v="147.19999999999999"/>
    <n v="154.69999999999999"/>
    <n v="137.1"/>
    <n v="140.4"/>
    <n v="148.1"/>
    <n v="129.30000000000001"/>
    <n v="144.5"/>
    <n v="152.5"/>
    <n v="152.19999999999999"/>
    <n v="142"/>
    <n v="150.80000000000001"/>
    <x v="0"/>
    <m/>
    <m/>
    <m/>
    <m/>
  </r>
  <r>
    <s v="Rural+Urban"/>
    <x v="7"/>
    <x v="5"/>
    <n v="149.6"/>
    <n v="192.7"/>
    <n v="151.4"/>
    <n v="153.30000000000001"/>
    <n v="136.30000000000001"/>
    <n v="147.19999999999999"/>
    <n v="156.5"/>
    <n v="150.9"/>
    <n v="114.2"/>
    <n v="159.5"/>
    <n v="139.4"/>
    <n v="161.80000000000001"/>
    <s v="After COVID"/>
    <n v="154"/>
    <n v="183.5"/>
    <n v="152.5"/>
    <n v="144.4"/>
    <n v="151.4"/>
    <n v="154.69999999999999"/>
    <n v="141.9"/>
    <n v="146.4"/>
    <n v="154.4"/>
    <n v="135"/>
    <n v="148.30000000000001"/>
    <n v="156.4"/>
    <n v="151.6"/>
    <n v="147"/>
    <n v="151.80000000000001"/>
    <x v="28"/>
    <n v="1.8080667593880348"/>
    <n v="4.7489823609226596"/>
    <n v="8.3467094703049796"/>
    <n v="6.2281315605318444"/>
  </r>
  <r>
    <s v="Rural"/>
    <x v="7"/>
    <x v="6"/>
    <n v="148.19999999999999"/>
    <n v="190.3"/>
    <n v="149.4"/>
    <n v="153.30000000000001"/>
    <n v="138.19999999999999"/>
    <n v="143.19999999999999"/>
    <n v="148.9"/>
    <n v="150.30000000000001"/>
    <n v="113.2"/>
    <n v="159.80000000000001"/>
    <n v="142.1"/>
    <n v="161.80000000000001"/>
    <m/>
    <n v="152.30000000000001"/>
    <n v="182.4"/>
    <n v="154.69999999999999"/>
    <n v="150"/>
    <n v="154.1"/>
    <s v="NA"/>
    <n v="144.9"/>
    <n v="151.69999999999999"/>
    <n v="158.19999999999999"/>
    <n v="141.4"/>
    <n v="153.19999999999999"/>
    <n v="161.80000000000001"/>
    <n v="151.19999999999999"/>
    <n v="151.69999999999999"/>
    <n v="152.69999999999999"/>
    <x v="0"/>
    <m/>
    <m/>
    <m/>
    <m/>
  </r>
  <r>
    <s v="Urban"/>
    <x v="7"/>
    <x v="6"/>
    <n v="152.69999999999999"/>
    <n v="197"/>
    <n v="154.6"/>
    <n v="153.4"/>
    <n v="132.9"/>
    <n v="151.80000000000001"/>
    <n v="171.2"/>
    <n v="152"/>
    <n v="116.3"/>
    <n v="158.80000000000001"/>
    <n v="135.6"/>
    <n v="161.69999999999999"/>
    <m/>
    <n v="157"/>
    <n v="186.7"/>
    <n v="149.1"/>
    <n v="136.6"/>
    <n v="147.19999999999999"/>
    <n v="154.69999999999999"/>
    <n v="137.1"/>
    <n v="140.4"/>
    <n v="148.1"/>
    <n v="129.30000000000001"/>
    <n v="144.5"/>
    <n v="152.5"/>
    <n v="152.19999999999999"/>
    <n v="142"/>
    <n v="150.80000000000001"/>
    <x v="0"/>
    <m/>
    <m/>
    <m/>
    <m/>
  </r>
  <r>
    <s v="Rural+Urban"/>
    <x v="7"/>
    <x v="6"/>
    <n v="149.6"/>
    <n v="192.7"/>
    <n v="151.4"/>
    <n v="153.30000000000001"/>
    <n v="136.30000000000001"/>
    <n v="147.19999999999999"/>
    <n v="156.5"/>
    <n v="150.9"/>
    <n v="114.2"/>
    <n v="159.5"/>
    <n v="139.4"/>
    <n v="161.80000000000001"/>
    <s v="After COVID"/>
    <n v="154"/>
    <n v="183.5"/>
    <n v="152.5"/>
    <n v="144.4"/>
    <n v="151.4"/>
    <n v="154.69999999999999"/>
    <n v="141.9"/>
    <n v="146.4"/>
    <n v="154.4"/>
    <n v="135"/>
    <n v="148.30000000000001"/>
    <n v="156.4"/>
    <n v="151.6"/>
    <n v="147"/>
    <n v="151.80000000000001"/>
    <x v="29"/>
    <n v="1.5256588072122172"/>
    <n v="4.3948613928329952"/>
    <n v="7.4840764331210243"/>
    <n v="5.27045769764218"/>
  </r>
  <r>
    <s v="Rural"/>
    <x v="7"/>
    <x v="7"/>
    <n v="147.6"/>
    <n v="187.2"/>
    <n v="148.4"/>
    <n v="153.30000000000001"/>
    <n v="139.80000000000001"/>
    <n v="146.9"/>
    <n v="171"/>
    <n v="149.9"/>
    <n v="114.2"/>
    <n v="160"/>
    <n v="143.5"/>
    <n v="161.5"/>
    <m/>
    <n v="155.30000000000001"/>
    <n v="180.9"/>
    <n v="155.1"/>
    <n v="149.30000000000001"/>
    <n v="154.30000000000001"/>
    <s v="NA"/>
    <n v="145.80000000000001"/>
    <n v="151.9"/>
    <n v="158.80000000000001"/>
    <n v="143.6"/>
    <n v="152.19999999999999"/>
    <n v="162.69999999999999"/>
    <n v="153.6"/>
    <n v="153"/>
    <n v="154.69999999999999"/>
    <x v="0"/>
    <m/>
    <m/>
    <m/>
    <m/>
  </r>
  <r>
    <s v="Urban"/>
    <x v="7"/>
    <x v="7"/>
    <n v="151.6"/>
    <n v="197.8"/>
    <n v="154.5"/>
    <n v="153.4"/>
    <n v="133.4"/>
    <n v="154.5"/>
    <n v="191.9"/>
    <n v="151.30000000000001"/>
    <n v="116.8"/>
    <n v="160"/>
    <n v="136.5"/>
    <n v="163.30000000000001"/>
    <m/>
    <n v="159.9"/>
    <n v="187.2"/>
    <n v="150"/>
    <n v="135.19999999999999"/>
    <n v="147.80000000000001"/>
    <n v="155.5"/>
    <n v="138.30000000000001"/>
    <n v="144.5"/>
    <n v="148.69999999999999"/>
    <n v="133.9"/>
    <n v="141.19999999999999"/>
    <n v="155.5"/>
    <n v="155.19999999999999"/>
    <n v="144.80000000000001"/>
    <n v="152.9"/>
    <x v="0"/>
    <m/>
    <m/>
    <m/>
    <m/>
  </r>
  <r>
    <s v="Rural+Urban"/>
    <x v="7"/>
    <x v="7"/>
    <n v="148.9"/>
    <n v="190.9"/>
    <n v="150.80000000000001"/>
    <n v="153.30000000000001"/>
    <n v="137.4"/>
    <n v="150.4"/>
    <n v="178.1"/>
    <n v="150.4"/>
    <n v="115.1"/>
    <n v="160"/>
    <n v="140.6"/>
    <n v="162.30000000000001"/>
    <s v="After COVID"/>
    <n v="157"/>
    <n v="182.6"/>
    <n v="153.1"/>
    <n v="143.4"/>
    <n v="151.69999999999999"/>
    <n v="155.5"/>
    <n v="143"/>
    <n v="148.4"/>
    <n v="155"/>
    <n v="138.5"/>
    <n v="146"/>
    <n v="158.5"/>
    <n v="154.30000000000001"/>
    <n v="149"/>
    <n v="153.9"/>
    <x v="30"/>
    <n v="2.698961937716267"/>
    <n v="4.3771043771043772"/>
    <n v="10.095389507154215"/>
    <n v="6.1379310344827624"/>
  </r>
  <r>
    <s v="Rural"/>
    <x v="7"/>
    <x v="8"/>
    <n v="146.9"/>
    <n v="183.9"/>
    <n v="149.5"/>
    <n v="153.4"/>
    <n v="140.4"/>
    <n v="147"/>
    <n v="178.8"/>
    <n v="149.30000000000001"/>
    <n v="115.1"/>
    <n v="160"/>
    <n v="145.4"/>
    <n v="161.6"/>
    <m/>
    <n v="156.1"/>
    <n v="182.9"/>
    <n v="155.4"/>
    <n v="149.9"/>
    <n v="154.6"/>
    <s v="NA"/>
    <n v="146.4"/>
    <n v="151.6"/>
    <n v="159.1"/>
    <n v="144.6"/>
    <n v="152.80000000000001"/>
    <n v="161.1"/>
    <n v="157.4"/>
    <n v="153.69999999999999"/>
    <n v="155.4"/>
    <x v="0"/>
    <m/>
    <m/>
    <m/>
    <m/>
  </r>
  <r>
    <s v="Urban"/>
    <x v="7"/>
    <x v="8"/>
    <n v="151.5"/>
    <n v="193.1"/>
    <n v="157.30000000000001"/>
    <n v="153.9"/>
    <n v="134.4"/>
    <n v="155.4"/>
    <n v="202"/>
    <n v="150.80000000000001"/>
    <n v="118.9"/>
    <n v="160.9"/>
    <n v="137.69999999999999"/>
    <n v="164.4"/>
    <m/>
    <n v="161.30000000000001"/>
    <n v="188.7"/>
    <n v="150.19999999999999"/>
    <n v="136.30000000000001"/>
    <n v="148.1"/>
    <n v="156.30000000000001"/>
    <n v="137.19999999999999"/>
    <n v="145.4"/>
    <n v="150"/>
    <n v="135.1"/>
    <n v="141.80000000000001"/>
    <n v="154.9"/>
    <n v="159.80000000000001"/>
    <n v="146"/>
    <n v="154"/>
    <x v="0"/>
    <m/>
    <m/>
    <m/>
    <m/>
  </r>
  <r>
    <s v="Rural+Urban"/>
    <x v="7"/>
    <x v="8"/>
    <n v="148.4"/>
    <n v="187.1"/>
    <n v="152.5"/>
    <n v="153.6"/>
    <n v="138.19999999999999"/>
    <n v="150.9"/>
    <n v="186.7"/>
    <n v="149.80000000000001"/>
    <n v="116.4"/>
    <n v="160.30000000000001"/>
    <n v="142.19999999999999"/>
    <n v="162.9"/>
    <s v="After COVID"/>
    <n v="158"/>
    <n v="184.4"/>
    <n v="153.4"/>
    <n v="144.30000000000001"/>
    <n v="152"/>
    <n v="156.30000000000001"/>
    <n v="142.9"/>
    <n v="148.69999999999999"/>
    <n v="155.6"/>
    <n v="139.6"/>
    <n v="146.6"/>
    <n v="157.5"/>
    <n v="158.4"/>
    <n v="150"/>
    <n v="154.69999999999999"/>
    <x v="31"/>
    <n v="2.83540802213001"/>
    <n v="4.4295302013422777"/>
    <n v="10.705789056304521"/>
    <n v="6.1042524005486802"/>
  </r>
  <r>
    <s v="Rural"/>
    <x v="7"/>
    <x v="9"/>
    <n v="146"/>
    <n v="186.3"/>
    <n v="159.19999999999999"/>
    <n v="153.6"/>
    <n v="142.6"/>
    <n v="147.19999999999999"/>
    <n v="200.6"/>
    <n v="150.30000000000001"/>
    <n v="115.3"/>
    <n v="160.9"/>
    <n v="147.4"/>
    <n v="161.9"/>
    <m/>
    <n v="159.6"/>
    <n v="182.7"/>
    <n v="155.69999999999999"/>
    <n v="150.6"/>
    <n v="155"/>
    <s v="NA"/>
    <n v="146.80000000000001"/>
    <n v="152"/>
    <n v="159.5"/>
    <n v="146.4"/>
    <n v="152.4"/>
    <n v="162.5"/>
    <n v="156.19999999999999"/>
    <n v="154.30000000000001"/>
    <n v="157.5"/>
    <x v="0"/>
    <m/>
    <m/>
    <m/>
    <m/>
  </r>
  <r>
    <s v="Urban"/>
    <x v="7"/>
    <x v="9"/>
    <n v="150.6"/>
    <n v="193.7"/>
    <n v="164.8"/>
    <n v="153.69999999999999"/>
    <n v="135.69999999999999"/>
    <n v="155.69999999999999"/>
    <n v="226"/>
    <n v="152.19999999999999"/>
    <n v="118.1"/>
    <n v="161.30000000000001"/>
    <n v="139.19999999999999"/>
    <n v="164.8"/>
    <m/>
    <n v="164.4"/>
    <n v="188.7"/>
    <n v="150.5"/>
    <n v="136.1"/>
    <n v="148.30000000000001"/>
    <n v="156.5"/>
    <n v="137.1"/>
    <n v="145.1"/>
    <n v="151"/>
    <n v="135.4"/>
    <n v="142"/>
    <n v="155.69999999999999"/>
    <n v="158.1"/>
    <n v="146.19999999999999"/>
    <n v="155.19999999999999"/>
    <x v="0"/>
    <m/>
    <m/>
    <m/>
    <m/>
  </r>
  <r>
    <s v="Rural+Urban"/>
    <x v="7"/>
    <x v="9"/>
    <n v="147.5"/>
    <n v="188.9"/>
    <n v="161.4"/>
    <n v="153.6"/>
    <n v="140.1"/>
    <n v="151.19999999999999"/>
    <n v="209.2"/>
    <n v="150.9"/>
    <n v="116.2"/>
    <n v="161"/>
    <n v="144"/>
    <n v="163.19999999999999"/>
    <s v="After COVID"/>
    <n v="161.4"/>
    <n v="184.3"/>
    <n v="153.69999999999999"/>
    <n v="144.6"/>
    <n v="152.30000000000001"/>
    <n v="156.5"/>
    <n v="143.1"/>
    <n v="148.69999999999999"/>
    <n v="156.30000000000001"/>
    <n v="140.6"/>
    <n v="146.5"/>
    <n v="158.5"/>
    <n v="157"/>
    <n v="150.4"/>
    <n v="156.4"/>
    <x v="32"/>
    <n v="2.5517241379310267"/>
    <n v="4.6184738955823326"/>
    <n v="11.322248614410132"/>
    <n v="6.2500000000000124"/>
  </r>
  <r>
    <s v="Rural"/>
    <x v="7"/>
    <x v="11"/>
    <n v="145.4"/>
    <n v="188.6"/>
    <n v="171.6"/>
    <n v="153.80000000000001"/>
    <n v="145.4"/>
    <n v="146.5"/>
    <n v="222.2"/>
    <n v="155.9"/>
    <n v="114.9"/>
    <n v="162"/>
    <n v="150"/>
    <n v="162.69999999999999"/>
    <m/>
    <n v="163.4"/>
    <n v="183.4"/>
    <n v="156.30000000000001"/>
    <n v="151"/>
    <n v="155.5"/>
    <s v="NA"/>
    <n v="147.5"/>
    <n v="152.80000000000001"/>
    <n v="160.4"/>
    <n v="146.1"/>
    <n v="153.6"/>
    <n v="161.6"/>
    <n v="156.19999999999999"/>
    <n v="154.5"/>
    <n v="159.80000000000001"/>
    <x v="0"/>
    <m/>
    <m/>
    <m/>
    <m/>
  </r>
  <r>
    <s v="Urban"/>
    <x v="7"/>
    <x v="11"/>
    <n v="149.69999999999999"/>
    <n v="195.5"/>
    <n v="176.9"/>
    <n v="153.9"/>
    <n v="138"/>
    <n v="150.5"/>
    <n v="245.3"/>
    <n v="158.69999999999999"/>
    <n v="117.2"/>
    <n v="161.4"/>
    <n v="141.5"/>
    <n v="165.1"/>
    <m/>
    <n v="167"/>
    <n v="188.8"/>
    <n v="151.1"/>
    <n v="136.4"/>
    <n v="148.80000000000001"/>
    <n v="158"/>
    <n v="137.30000000000001"/>
    <n v="145.1"/>
    <n v="152"/>
    <n v="135.19999999999999"/>
    <n v="144.4"/>
    <n v="156.4"/>
    <n v="157.9"/>
    <n v="146.6"/>
    <n v="156.69999999999999"/>
    <x v="0"/>
    <m/>
    <m/>
    <m/>
    <m/>
  </r>
  <r>
    <s v="Rural+Urban"/>
    <x v="7"/>
    <x v="11"/>
    <n v="146.80000000000001"/>
    <n v="191"/>
    <n v="173.6"/>
    <n v="153.80000000000001"/>
    <n v="142.69999999999999"/>
    <n v="148.4"/>
    <n v="230"/>
    <n v="156.80000000000001"/>
    <n v="115.7"/>
    <n v="161.80000000000001"/>
    <n v="146.5"/>
    <n v="163.80000000000001"/>
    <s v="After COVID"/>
    <n v="164.7"/>
    <n v="184.8"/>
    <n v="154.30000000000001"/>
    <n v="144.9"/>
    <n v="152.80000000000001"/>
    <n v="158"/>
    <n v="143.6"/>
    <n v="149.19999999999999"/>
    <n v="157.19999999999999"/>
    <n v="140.4"/>
    <n v="148.4"/>
    <n v="158.6"/>
    <n v="156.9"/>
    <n v="150.69999999999999"/>
    <n v="158.4"/>
    <x v="33"/>
    <n v="2.6841018582243477"/>
    <n v="4.8699132755169998"/>
    <n v="10.900473933649298"/>
    <n v="6.594885598923292"/>
  </r>
  <r>
    <s v="Rural"/>
    <x v="7"/>
    <x v="12"/>
    <n v="144.6"/>
    <n v="188.5"/>
    <n v="173.4"/>
    <n v="154"/>
    <n v="150"/>
    <n v="145.9"/>
    <n v="225.2"/>
    <n v="159.5"/>
    <n v="114.4"/>
    <n v="163.5"/>
    <n v="153.4"/>
    <n v="163.6"/>
    <m/>
    <n v="164.5"/>
    <n v="183.6"/>
    <n v="157"/>
    <n v="151.6"/>
    <n v="156.30000000000001"/>
    <s v="NA"/>
    <n v="148.69999999999999"/>
    <n v="153.4"/>
    <n v="161.6"/>
    <n v="146.4"/>
    <n v="153.9"/>
    <n v="162.9"/>
    <n v="156.6"/>
    <n v="155.19999999999999"/>
    <n v="160.69999999999999"/>
    <x v="0"/>
    <m/>
    <m/>
    <m/>
    <m/>
  </r>
  <r>
    <s v="Urban"/>
    <x v="7"/>
    <x v="12"/>
    <n v="149"/>
    <n v="195.7"/>
    <n v="178.3"/>
    <n v="154.19999999999999"/>
    <n v="140.69999999999999"/>
    <n v="149.69999999999999"/>
    <n v="240.9"/>
    <n v="161.5"/>
    <n v="117.1"/>
    <n v="161.9"/>
    <n v="143.30000000000001"/>
    <n v="166.1"/>
    <m/>
    <n v="167"/>
    <n v="190.2"/>
    <n v="151.9"/>
    <n v="136.69999999999999"/>
    <n v="149.6"/>
    <n v="158.4"/>
    <n v="137.9"/>
    <n v="145.5"/>
    <n v="152.9"/>
    <n v="135.5"/>
    <n v="144.30000000000001"/>
    <n v="156.9"/>
    <n v="157.9"/>
    <n v="146.9"/>
    <n v="156.9"/>
    <x v="0"/>
    <m/>
    <m/>
    <m/>
    <m/>
  </r>
  <r>
    <s v="Rural+Urban"/>
    <x v="7"/>
    <x v="12"/>
    <n v="146"/>
    <n v="191"/>
    <n v="175.3"/>
    <n v="154.1"/>
    <n v="146.6"/>
    <n v="147.69999999999999"/>
    <n v="230.5"/>
    <n v="160.19999999999999"/>
    <n v="115.3"/>
    <n v="163"/>
    <n v="149.19999999999999"/>
    <n v="164.8"/>
    <s v="After COVID"/>
    <n v="165.4"/>
    <n v="185.4"/>
    <n v="155"/>
    <n v="145.4"/>
    <n v="153.6"/>
    <n v="158.4"/>
    <n v="144.6"/>
    <n v="149.69999999999999"/>
    <n v="158.30000000000001"/>
    <n v="140.69999999999999"/>
    <n v="148.5"/>
    <n v="159.4"/>
    <n v="157.1"/>
    <n v="151.19999999999999"/>
    <n v="158.9"/>
    <x v="34"/>
    <n v="2.6748971193415483"/>
    <n v="5.2526595744680886"/>
    <n v="8.3975346687210912"/>
    <n v="5.6515957446808507"/>
  </r>
  <r>
    <s v="Rural"/>
    <x v="8"/>
    <x v="0"/>
    <n v="143.4"/>
    <n v="187.5"/>
    <n v="173.4"/>
    <n v="154"/>
    <n v="154.80000000000001"/>
    <n v="147"/>
    <n v="187.8"/>
    <n v="159.5"/>
    <n v="113.8"/>
    <n v="164.5"/>
    <n v="156.1"/>
    <n v="164.3"/>
    <m/>
    <n v="159.6"/>
    <n v="184.6"/>
    <n v="157.5"/>
    <n v="152.4"/>
    <n v="156.80000000000001"/>
    <s v="NA"/>
    <n v="150.9"/>
    <n v="153.9"/>
    <n v="162.5"/>
    <n v="147.5"/>
    <n v="155.1"/>
    <n v="163.5"/>
    <n v="156.19999999999999"/>
    <n v="155.9"/>
    <n v="158.5"/>
    <x v="0"/>
    <m/>
    <m/>
    <m/>
    <m/>
  </r>
  <r>
    <s v="Urban"/>
    <x v="8"/>
    <x v="0"/>
    <n v="148"/>
    <n v="194.8"/>
    <n v="178.4"/>
    <n v="154.4"/>
    <n v="144.1"/>
    <n v="152.6"/>
    <n v="206.8"/>
    <n v="162.1"/>
    <n v="116.3"/>
    <n v="163"/>
    <n v="145.9"/>
    <n v="167.2"/>
    <m/>
    <n v="163.4"/>
    <n v="191.8"/>
    <n v="152.5"/>
    <n v="137.30000000000001"/>
    <n v="150.19999999999999"/>
    <n v="157.69999999999999"/>
    <n v="142.9"/>
    <n v="145.69999999999999"/>
    <n v="154.1"/>
    <n v="136.9"/>
    <n v="145.4"/>
    <n v="156.1"/>
    <n v="157.69999999999999"/>
    <n v="147.6"/>
    <n v="156"/>
    <x v="0"/>
    <m/>
    <m/>
    <m/>
    <m/>
  </r>
  <r>
    <s v="Rural+Urban"/>
    <x v="8"/>
    <x v="0"/>
    <n v="144.9"/>
    <n v="190.1"/>
    <n v="175.3"/>
    <n v="154.1"/>
    <n v="150.9"/>
    <n v="149.6"/>
    <n v="194.2"/>
    <n v="160.4"/>
    <n v="114.6"/>
    <n v="164"/>
    <n v="151.80000000000001"/>
    <n v="165.6"/>
    <s v="After COVID"/>
    <n v="161"/>
    <n v="186.5"/>
    <n v="155.5"/>
    <n v="146.1"/>
    <n v="154.19999999999999"/>
    <n v="157.69999999999999"/>
    <n v="147.9"/>
    <n v="150"/>
    <n v="159.30000000000001"/>
    <n v="141.9"/>
    <n v="149.6"/>
    <n v="159.19999999999999"/>
    <n v="156.80000000000001"/>
    <n v="151.9"/>
    <n v="157.30000000000001"/>
    <x v="35"/>
    <n v="2.5991792065663555"/>
    <n v="5.3571428571428727"/>
    <n v="8.4033613445378137"/>
    <n v="4.7270306258322385"/>
  </r>
  <r>
    <s v="Rural"/>
    <x v="8"/>
    <x v="1"/>
    <n v="142.80000000000001"/>
    <n v="184"/>
    <n v="168"/>
    <n v="154.4"/>
    <n v="163"/>
    <n v="147.80000000000001"/>
    <n v="149.69999999999999"/>
    <n v="158.30000000000001"/>
    <n v="111.8"/>
    <n v="165"/>
    <n v="160"/>
    <n v="165.8"/>
    <m/>
    <n v="154.69999999999999"/>
    <n v="186.5"/>
    <n v="159.1"/>
    <n v="153.9"/>
    <n v="158.4"/>
    <s v="NA"/>
    <n v="154.4"/>
    <n v="154.80000000000001"/>
    <n v="164.3"/>
    <n v="150.19999999999999"/>
    <n v="157"/>
    <n v="163.6"/>
    <n v="155.19999999999999"/>
    <n v="157.19999999999999"/>
    <n v="156.69999999999999"/>
    <x v="0"/>
    <m/>
    <m/>
    <m/>
    <m/>
  </r>
  <r>
    <s v="Urban"/>
    <x v="8"/>
    <x v="1"/>
    <n v="147.6"/>
    <n v="191.2"/>
    <n v="169.9"/>
    <n v="155.1"/>
    <n v="151.4"/>
    <n v="154"/>
    <n v="180.2"/>
    <n v="159.80000000000001"/>
    <n v="114.9"/>
    <n v="162.5"/>
    <n v="149.19999999999999"/>
    <n v="169.4"/>
    <m/>
    <n v="160.80000000000001"/>
    <n v="193.3"/>
    <n v="154.19999999999999"/>
    <n v="138.19999999999999"/>
    <n v="151.80000000000001"/>
    <n v="159.80000000000001"/>
    <n v="149.1"/>
    <n v="146.5"/>
    <n v="156.30000000000001"/>
    <n v="140.5"/>
    <n v="147.30000000000001"/>
    <n v="156.6"/>
    <n v="156.69999999999999"/>
    <n v="149.30000000000001"/>
    <n v="156.5"/>
    <x v="0"/>
    <m/>
    <m/>
    <m/>
    <m/>
  </r>
  <r>
    <s v="Rural+Urban"/>
    <x v="8"/>
    <x v="1"/>
    <n v="144.30000000000001"/>
    <n v="186.5"/>
    <n v="168.7"/>
    <n v="154.69999999999999"/>
    <n v="158.69999999999999"/>
    <n v="150.69999999999999"/>
    <n v="160"/>
    <n v="158.80000000000001"/>
    <n v="112.8"/>
    <n v="164.2"/>
    <n v="155.5"/>
    <n v="167.5"/>
    <s v="After COVID"/>
    <n v="156.9"/>
    <n v="188.3"/>
    <n v="157.19999999999999"/>
    <n v="147.4"/>
    <n v="155.80000000000001"/>
    <n v="159.80000000000001"/>
    <n v="152.4"/>
    <n v="150.9"/>
    <n v="161.30000000000001"/>
    <n v="145.1"/>
    <n v="151.5"/>
    <n v="159.5"/>
    <n v="155.80000000000001"/>
    <n v="153.4"/>
    <n v="156.6"/>
    <x v="36"/>
    <n v="3.0737704918032787"/>
    <n v="6.3282794990112219"/>
    <n v="11.358403683806587"/>
    <n v="5.0301810865191152"/>
  </r>
  <r>
    <s v="Rural"/>
    <x v="8"/>
    <x v="2"/>
    <n v="142.5"/>
    <n v="189.4"/>
    <n v="163.19999999999999"/>
    <n v="154.5"/>
    <n v="168.2"/>
    <n v="150.5"/>
    <n v="141"/>
    <n v="159.19999999999999"/>
    <n v="111.7"/>
    <n v="164"/>
    <n v="160.6"/>
    <n v="166.4"/>
    <m/>
    <n v="154.5"/>
    <n v="186.1"/>
    <n v="159.6"/>
    <n v="154.4"/>
    <n v="158.9"/>
    <s v="-"/>
    <n v="156"/>
    <n v="154.80000000000001"/>
    <n v="164.6"/>
    <n v="151.30000000000001"/>
    <n v="157.80000000000001"/>
    <n v="163.80000000000001"/>
    <n v="153.1"/>
    <n v="157.30000000000001"/>
    <n v="156.69999999999999"/>
    <x v="0"/>
    <m/>
    <m/>
    <m/>
    <m/>
  </r>
  <r>
    <s v="Urban"/>
    <x v="8"/>
    <x v="2"/>
    <n v="147.5"/>
    <n v="197.5"/>
    <n v="164.7"/>
    <n v="155.6"/>
    <n v="156.4"/>
    <n v="157.30000000000001"/>
    <n v="166.1"/>
    <n v="161.1"/>
    <n v="114.3"/>
    <n v="162.6"/>
    <n v="150.69999999999999"/>
    <n v="170.3"/>
    <m/>
    <n v="160.4"/>
    <n v="193.5"/>
    <n v="155.1"/>
    <n v="138.69999999999999"/>
    <n v="152.6"/>
    <n v="159.9"/>
    <n v="154.80000000000001"/>
    <n v="147.19999999999999"/>
    <n v="156.9"/>
    <n v="141.69999999999999"/>
    <n v="148.6"/>
    <n v="157.6"/>
    <n v="154.9"/>
    <n v="150"/>
    <n v="156.9"/>
    <x v="0"/>
    <m/>
    <m/>
    <m/>
    <m/>
  </r>
  <r>
    <s v="Rural+Urban"/>
    <x v="8"/>
    <x v="2"/>
    <n v="144.1"/>
    <n v="192.2"/>
    <n v="163.80000000000001"/>
    <n v="154.9"/>
    <n v="163.9"/>
    <n v="153.69999999999999"/>
    <n v="149.5"/>
    <n v="159.80000000000001"/>
    <n v="112.6"/>
    <n v="163.5"/>
    <n v="156.5"/>
    <n v="168.2"/>
    <s v="After COVID"/>
    <n v="156.69999999999999"/>
    <n v="188.1"/>
    <n v="157.80000000000001"/>
    <n v="147.9"/>
    <n v="156.4"/>
    <n v="159.9"/>
    <n v="155.5"/>
    <n v="151.19999999999999"/>
    <n v="161.69999999999999"/>
    <n v="146.19999999999999"/>
    <n v="152.6"/>
    <n v="160.19999999999999"/>
    <n v="153.80000000000001"/>
    <n v="153.80000000000001"/>
    <n v="156.80000000000001"/>
    <x v="37"/>
    <n v="3.2786885245901525"/>
    <n v="6.1720288903479821"/>
    <n v="12.548113933795213"/>
    <n v="5.5181695827725559"/>
  </r>
  <r>
    <s v="Rural"/>
    <x v="8"/>
    <x v="3"/>
    <n v="142.69999999999999"/>
    <n v="195.5"/>
    <n v="163.4"/>
    <n v="155"/>
    <n v="175.2"/>
    <n v="160.6"/>
    <n v="135.1"/>
    <n v="161.1"/>
    <n v="112.2"/>
    <n v="164.4"/>
    <n v="161.9"/>
    <n v="166.8"/>
    <m/>
    <n v="155.6"/>
    <n v="186.8"/>
    <n v="160.69999999999999"/>
    <n v="155.1"/>
    <n v="159.9"/>
    <s v="-"/>
    <n v="156"/>
    <n v="155.5"/>
    <n v="165.3"/>
    <n v="151.69999999999999"/>
    <n v="158.6"/>
    <n v="164.1"/>
    <n v="154.6"/>
    <n v="158"/>
    <n v="157.6"/>
    <x v="0"/>
    <m/>
    <m/>
    <m/>
    <m/>
  </r>
  <r>
    <s v="Urban"/>
    <x v="8"/>
    <x v="3"/>
    <n v="147.6"/>
    <n v="202.5"/>
    <n v="166.4"/>
    <n v="156"/>
    <n v="161.4"/>
    <n v="168.8"/>
    <n v="161.6"/>
    <n v="162.80000000000001"/>
    <n v="114.8"/>
    <n v="162.80000000000001"/>
    <n v="151.5"/>
    <n v="171.4"/>
    <m/>
    <n v="162"/>
    <n v="194.4"/>
    <n v="155.9"/>
    <n v="139.30000000000001"/>
    <n v="153.4"/>
    <n v="161.4"/>
    <n v="154.9"/>
    <n v="147.6"/>
    <n v="157.5"/>
    <n v="142.1"/>
    <n v="149.1"/>
    <n v="157.6"/>
    <n v="156.6"/>
    <n v="150.5"/>
    <n v="158"/>
    <x v="0"/>
    <m/>
    <m/>
    <m/>
    <m/>
  </r>
  <r>
    <s v="Rural+Urban"/>
    <x v="8"/>
    <x v="3"/>
    <n v="144.30000000000001"/>
    <n v="198"/>
    <n v="164.6"/>
    <n v="155.4"/>
    <n v="170.1"/>
    <n v="164.4"/>
    <n v="144.1"/>
    <n v="161.69999999999999"/>
    <n v="113.1"/>
    <n v="163.9"/>
    <n v="157.6"/>
    <n v="168.9"/>
    <s v="After COVID"/>
    <n v="158"/>
    <n v="188.8"/>
    <n v="158.80000000000001"/>
    <n v="148.5"/>
    <n v="157.30000000000001"/>
    <n v="161.4"/>
    <n v="155.6"/>
    <n v="151.80000000000001"/>
    <n v="162.30000000000001"/>
    <n v="146.6"/>
    <n v="153.19999999999999"/>
    <n v="160.30000000000001"/>
    <n v="155.4"/>
    <n v="154.4"/>
    <n v="157.80000000000001"/>
    <x v="38"/>
    <m/>
    <m/>
    <m/>
    <m/>
  </r>
  <r>
    <s v="Rural"/>
    <x v="8"/>
    <x v="4"/>
    <n v="145.1"/>
    <n v="198.5"/>
    <n v="168.6"/>
    <n v="155.80000000000001"/>
    <n v="184.4"/>
    <n v="162.30000000000001"/>
    <n v="138.4"/>
    <n v="165.1"/>
    <n v="114.3"/>
    <n v="169.7"/>
    <n v="164.6"/>
    <n v="169.8"/>
    <m/>
    <n v="158.69999999999999"/>
    <n v="189.6"/>
    <n v="165.3"/>
    <n v="160.6"/>
    <n v="164.5"/>
    <s v="NA"/>
    <n v="161.69999999999999"/>
    <n v="158.80000000000001"/>
    <n v="169.1"/>
    <n v="153.19999999999999"/>
    <n v="160"/>
    <n v="167.6"/>
    <n v="159.30000000000001"/>
    <n v="161.1"/>
    <n v="161.1"/>
    <x v="0"/>
    <m/>
    <m/>
    <m/>
    <m/>
  </r>
  <r>
    <s v="Urban"/>
    <x v="8"/>
    <x v="4"/>
    <n v="148.80000000000001"/>
    <n v="204.3"/>
    <n v="173"/>
    <n v="156.5"/>
    <n v="168.8"/>
    <n v="172.5"/>
    <n v="166.5"/>
    <n v="165.9"/>
    <n v="115.9"/>
    <n v="165.2"/>
    <n v="152"/>
    <n v="171.1"/>
    <m/>
    <n v="164.2"/>
    <n v="198.2"/>
    <n v="156.5"/>
    <n v="140.19999999999999"/>
    <n v="154.1"/>
    <n v="161.6"/>
    <n v="155.5"/>
    <n v="150.1"/>
    <n v="160.4"/>
    <n v="145"/>
    <n v="152.6"/>
    <n v="156.6"/>
    <n v="157.5"/>
    <n v="152.30000000000001"/>
    <n v="159.5"/>
    <x v="0"/>
    <m/>
    <m/>
    <m/>
    <m/>
  </r>
  <r>
    <s v="Rural+Urban"/>
    <x v="8"/>
    <x v="4"/>
    <n v="146.30000000000001"/>
    <n v="200.5"/>
    <n v="170.3"/>
    <n v="156.1"/>
    <n v="178.7"/>
    <n v="167.1"/>
    <n v="147.9"/>
    <n v="165.4"/>
    <n v="114.8"/>
    <n v="168.2"/>
    <n v="159.30000000000001"/>
    <n v="170.4"/>
    <s v="After COVID"/>
    <n v="160.69999999999999"/>
    <n v="191.9"/>
    <n v="161.80000000000001"/>
    <n v="152.1"/>
    <n v="160.4"/>
    <n v="161.6"/>
    <n v="159.4"/>
    <n v="154.69999999999999"/>
    <n v="165.8"/>
    <n v="148.9"/>
    <n v="155.80000000000001"/>
    <n v="161.19999999999999"/>
    <n v="158.6"/>
    <n v="156.80000000000001"/>
    <n v="160.4"/>
    <x v="0"/>
    <m/>
    <m/>
    <m/>
    <m/>
  </r>
  <r>
    <s v="Rural"/>
    <x v="8"/>
    <x v="5"/>
    <n v="145.6"/>
    <n v="200.1"/>
    <n v="179.3"/>
    <n v="156.1"/>
    <n v="190.4"/>
    <n v="158.6"/>
    <n v="144.69999999999999"/>
    <n v="165.5"/>
    <n v="114.6"/>
    <n v="170"/>
    <n v="165.5"/>
    <n v="171.7"/>
    <m/>
    <n v="160.5"/>
    <n v="189.1"/>
    <n v="165.3"/>
    <n v="159.9"/>
    <n v="164.6"/>
    <s v="NA"/>
    <n v="162.1"/>
    <n v="159.19999999999999"/>
    <n v="169.7"/>
    <n v="154.19999999999999"/>
    <n v="160.4"/>
    <n v="166.8"/>
    <n v="159.4"/>
    <n v="161.5"/>
    <n v="162.1"/>
    <x v="0"/>
    <m/>
    <m/>
    <m/>
    <m/>
  </r>
  <r>
    <s v="Urban"/>
    <x v="8"/>
    <x v="5"/>
    <n v="149.19999999999999"/>
    <n v="205.5"/>
    <n v="182.8"/>
    <n v="156.5"/>
    <n v="172.2"/>
    <n v="171.5"/>
    <n v="176.2"/>
    <n v="166.9"/>
    <n v="116.1"/>
    <n v="165.5"/>
    <n v="152.30000000000001"/>
    <n v="173.3"/>
    <m/>
    <n v="166.2"/>
    <n v="195.6"/>
    <n v="157.30000000000001"/>
    <n v="140.5"/>
    <n v="154.80000000000001"/>
    <n v="160.5"/>
    <n v="156.1"/>
    <n v="149.80000000000001"/>
    <n v="160.80000000000001"/>
    <n v="147.5"/>
    <n v="150.69999999999999"/>
    <n v="158.1"/>
    <n v="158"/>
    <n v="153.4"/>
    <n v="160.4"/>
    <x v="0"/>
    <m/>
    <m/>
    <m/>
    <m/>
  </r>
  <r>
    <s v="Rural+Urban"/>
    <x v="8"/>
    <x v="5"/>
    <n v="146.69999999999999"/>
    <n v="202"/>
    <n v="180.7"/>
    <n v="156.19999999999999"/>
    <n v="183.7"/>
    <n v="164.6"/>
    <n v="155.4"/>
    <n v="166"/>
    <n v="115.1"/>
    <n v="168.5"/>
    <n v="160"/>
    <n v="172.4"/>
    <s v="After COVID"/>
    <n v="162.6"/>
    <n v="190.8"/>
    <n v="162.19999999999999"/>
    <n v="151.80000000000001"/>
    <n v="160.69999999999999"/>
    <n v="160.5"/>
    <n v="159.80000000000001"/>
    <n v="154.80000000000001"/>
    <n v="166.3"/>
    <n v="150.69999999999999"/>
    <n v="154.9"/>
    <n v="161.69999999999999"/>
    <n v="158.80000000000001"/>
    <n v="157.6"/>
    <n v="161.30000000000001"/>
    <x v="39"/>
    <n v="5.7377049180327901"/>
    <n v="7.7072538860103661"/>
    <n v="11.629629629629621"/>
    <n v="6.2582345191040831"/>
  </r>
  <r>
    <s v="Rural"/>
    <x v="8"/>
    <x v="6"/>
    <n v="145.1"/>
    <n v="204.5"/>
    <n v="180.4"/>
    <n v="157.1"/>
    <n v="188.7"/>
    <n v="157.69999999999999"/>
    <n v="152.80000000000001"/>
    <n v="163.6"/>
    <n v="113.9"/>
    <n v="169.7"/>
    <n v="166.2"/>
    <n v="171"/>
    <m/>
    <n v="161.69999999999999"/>
    <n v="189.7"/>
    <n v="166"/>
    <n v="161.1"/>
    <n v="165.3"/>
    <s v="NA"/>
    <n v="162.5"/>
    <n v="160.30000000000001"/>
    <n v="170.4"/>
    <n v="157.1"/>
    <n v="160.69999999999999"/>
    <n v="167.2"/>
    <n v="160.4"/>
    <n v="162.80000000000001"/>
    <n v="163.19999999999999"/>
    <x v="0"/>
    <m/>
    <m/>
    <m/>
    <m/>
  </r>
  <r>
    <s v="Urban"/>
    <x v="8"/>
    <x v="6"/>
    <n v="149.1"/>
    <n v="210.9"/>
    <n v="185"/>
    <n v="158.19999999999999"/>
    <n v="170.6"/>
    <n v="170.9"/>
    <n v="186.4"/>
    <n v="164.7"/>
    <n v="115.7"/>
    <n v="165.5"/>
    <n v="153.4"/>
    <n v="173.5"/>
    <m/>
    <n v="167.9"/>
    <n v="195.5"/>
    <n v="157.9"/>
    <n v="141.9"/>
    <n v="155.5"/>
    <n v="161.5"/>
    <n v="157.69999999999999"/>
    <n v="150.69999999999999"/>
    <n v="161.5"/>
    <n v="149.5"/>
    <n v="151.19999999999999"/>
    <n v="160.30000000000001"/>
    <n v="159.6"/>
    <n v="155"/>
    <n v="161.80000000000001"/>
    <x v="0"/>
    <m/>
    <m/>
    <m/>
    <m/>
  </r>
  <r>
    <s v="Rural+Urban"/>
    <x v="8"/>
    <x v="6"/>
    <n v="146.4"/>
    <n v="206.8"/>
    <n v="182.2"/>
    <n v="157.5"/>
    <n v="182.1"/>
    <n v="163.9"/>
    <n v="164.2"/>
    <n v="164"/>
    <n v="114.5"/>
    <n v="168.3"/>
    <n v="160.9"/>
    <n v="172.2"/>
    <s v="After COVID"/>
    <n v="164"/>
    <n v="191.2"/>
    <n v="162.80000000000001"/>
    <n v="153.1"/>
    <n v="161.4"/>
    <n v="161.5"/>
    <n v="160.69999999999999"/>
    <n v="155.80000000000001"/>
    <n v="167"/>
    <n v="153.1"/>
    <n v="155.30000000000001"/>
    <n v="163.19999999999999"/>
    <n v="160.1"/>
    <n v="159"/>
    <n v="162.5"/>
    <x v="40"/>
    <n v="6.4207650273224077"/>
    <n v="8.1606217616580263"/>
    <n v="13.407407407407405"/>
    <n v="7.0487483530961708"/>
  </r>
  <r>
    <s v="Rural"/>
    <x v="8"/>
    <x v="7"/>
    <n v="144.9"/>
    <n v="202.3"/>
    <n v="176.5"/>
    <n v="157.5"/>
    <n v="190.9"/>
    <n v="155.69999999999999"/>
    <n v="153.9"/>
    <n v="162.80000000000001"/>
    <n v="115.2"/>
    <n v="169.8"/>
    <n v="167.6"/>
    <n v="171.9"/>
    <m/>
    <n v="161.80000000000001"/>
    <n v="190.2"/>
    <n v="167"/>
    <n v="162.6"/>
    <n v="166.3"/>
    <s v="NA"/>
    <n v="163.1"/>
    <n v="160.9"/>
    <n v="171.1"/>
    <n v="157.69999999999999"/>
    <n v="161.1"/>
    <n v="167.5"/>
    <n v="160.30000000000001"/>
    <n v="163.30000000000001"/>
    <n v="163.6"/>
    <x v="0"/>
    <m/>
    <m/>
    <m/>
    <m/>
  </r>
  <r>
    <s v="Urban"/>
    <x v="8"/>
    <x v="7"/>
    <n v="149.30000000000001"/>
    <n v="207.4"/>
    <n v="174.1"/>
    <n v="159.19999999999999"/>
    <n v="175"/>
    <n v="161.30000000000001"/>
    <n v="183.3"/>
    <n v="164.5"/>
    <n v="120.4"/>
    <n v="166.2"/>
    <n v="154.80000000000001"/>
    <n v="175.1"/>
    <m/>
    <n v="167.3"/>
    <n v="196.5"/>
    <n v="159.80000000000001"/>
    <n v="143.6"/>
    <n v="157.30000000000001"/>
    <n v="162.1"/>
    <n v="160.69999999999999"/>
    <n v="153.19999999999999"/>
    <n v="162.80000000000001"/>
    <n v="150.4"/>
    <n v="153.69999999999999"/>
    <n v="160.4"/>
    <n v="159.6"/>
    <n v="156"/>
    <n v="162.30000000000001"/>
    <x v="0"/>
    <m/>
    <m/>
    <m/>
    <m/>
  </r>
  <r>
    <s v="Rural+Urban"/>
    <x v="8"/>
    <x v="7"/>
    <n v="146.6"/>
    <n v="204"/>
    <n v="172.8"/>
    <n v="158.4"/>
    <n v="188"/>
    <n v="156.80000000000001"/>
    <n v="162.19999999999999"/>
    <n v="164.1"/>
    <n v="119.7"/>
    <n v="168.8"/>
    <n v="162.69999999999999"/>
    <n v="173.9"/>
    <s v="After COVID"/>
    <n v="164"/>
    <n v="192.1"/>
    <n v="164.5"/>
    <n v="155.30000000000001"/>
    <n v="163.19999999999999"/>
    <n v="162.1"/>
    <n v="162.6"/>
    <n v="157.5"/>
    <n v="168.4"/>
    <n v="154"/>
    <n v="157.6"/>
    <n v="163.80000000000001"/>
    <n v="160"/>
    <n v="160"/>
    <n v="163.19999999999999"/>
    <x v="41"/>
    <n v="6.1320754716981094"/>
    <n v="8.6451612903225836"/>
    <n v="11.191335740072201"/>
    <n v="6.0428849902534001"/>
  </r>
  <r>
    <s v="Rural"/>
    <x v="8"/>
    <x v="8"/>
    <n v="145.4"/>
    <n v="202.1"/>
    <n v="172"/>
    <n v="158"/>
    <n v="195.5"/>
    <n v="152.69999999999999"/>
    <n v="151.4"/>
    <n v="163.9"/>
    <n v="119.3"/>
    <n v="170.1"/>
    <n v="168.3"/>
    <n v="172.8"/>
    <m/>
    <n v="162.1"/>
    <n v="190.5"/>
    <n v="167.7"/>
    <n v="163.6"/>
    <n v="167.1"/>
    <s v="NA"/>
    <n v="163.69999999999999"/>
    <n v="161.30000000000001"/>
    <n v="171.9"/>
    <n v="157.80000000000001"/>
    <n v="162.69999999999999"/>
    <n v="168.5"/>
    <n v="160.19999999999999"/>
    <n v="163.80000000000001"/>
    <n v="164"/>
    <x v="0"/>
    <m/>
    <m/>
    <m/>
    <m/>
  </r>
  <r>
    <s v="Urban"/>
    <x v="8"/>
    <x v="8"/>
    <n v="149.30000000000001"/>
    <n v="207.4"/>
    <n v="174.1"/>
    <n v="159.1"/>
    <n v="175"/>
    <n v="161.19999999999999"/>
    <n v="183.5"/>
    <n v="164.5"/>
    <n v="120.4"/>
    <n v="166.2"/>
    <n v="154.80000000000001"/>
    <n v="175.1"/>
    <m/>
    <n v="167.3"/>
    <n v="196.5"/>
    <n v="159.80000000000001"/>
    <n v="143.6"/>
    <n v="157.4"/>
    <n v="162.1"/>
    <n v="160.80000000000001"/>
    <n v="153.30000000000001"/>
    <n v="162.80000000000001"/>
    <n v="150.5"/>
    <n v="153.9"/>
    <n v="160.30000000000001"/>
    <n v="159.6"/>
    <n v="156"/>
    <n v="162.30000000000001"/>
    <x v="0"/>
    <m/>
    <m/>
    <m/>
    <m/>
  </r>
  <r>
    <s v="Rural+Urban"/>
    <x v="8"/>
    <x v="8"/>
    <n v="146.6"/>
    <n v="204"/>
    <n v="172.8"/>
    <n v="158.4"/>
    <n v="188"/>
    <n v="156.69999999999999"/>
    <n v="162.30000000000001"/>
    <n v="164.1"/>
    <n v="119.7"/>
    <n v="168.8"/>
    <n v="162.69999999999999"/>
    <n v="173.9"/>
    <s v="After COVID"/>
    <n v="164"/>
    <n v="192.1"/>
    <n v="164.6"/>
    <n v="155.30000000000001"/>
    <n v="163.30000000000001"/>
    <n v="162.1"/>
    <n v="162.6"/>
    <n v="157.5"/>
    <n v="168.4"/>
    <n v="154"/>
    <n v="157.69999999999999"/>
    <n v="163.69999999999999"/>
    <n v="160"/>
    <n v="160"/>
    <n v="163.19999999999999"/>
    <x v="42"/>
    <n v="5.9179556153328932"/>
    <n v="8.2262210796915252"/>
    <n v="10.315186246418342"/>
    <n v="5.4945054945054954"/>
  </r>
  <r>
    <s v="Rural"/>
    <x v="8"/>
    <x v="9"/>
    <n v="146.1"/>
    <n v="202.5"/>
    <n v="170.1"/>
    <n v="158.4"/>
    <n v="198.8"/>
    <n v="152.6"/>
    <n v="170.4"/>
    <n v="165.2"/>
    <n v="121.6"/>
    <n v="170.6"/>
    <n v="168.8"/>
    <n v="173.6"/>
    <m/>
    <n v="165.5"/>
    <n v="191.2"/>
    <n v="168.9"/>
    <n v="164.8"/>
    <n v="168.3"/>
    <s v="NA"/>
    <n v="165.5"/>
    <n v="162"/>
    <n v="172.5"/>
    <n v="159.5"/>
    <n v="163.19999999999999"/>
    <n v="169"/>
    <n v="161.1"/>
    <n v="164.7"/>
    <n v="166.3"/>
    <x v="0"/>
    <m/>
    <m/>
    <m/>
    <m/>
  </r>
  <r>
    <s v="Urban"/>
    <x v="8"/>
    <x v="9"/>
    <n v="150.1"/>
    <n v="208.4"/>
    <n v="173"/>
    <n v="159.19999999999999"/>
    <n v="176.6"/>
    <n v="159.30000000000001"/>
    <n v="214.4"/>
    <n v="165.3"/>
    <n v="122.5"/>
    <n v="166.8"/>
    <n v="155.4"/>
    <n v="175.9"/>
    <m/>
    <n v="171.5"/>
    <n v="197"/>
    <n v="160.80000000000001"/>
    <n v="144.4"/>
    <n v="158.30000000000001"/>
    <n v="163.6"/>
    <n v="162.19999999999999"/>
    <n v="154.30000000000001"/>
    <n v="163.5"/>
    <n v="152.19999999999999"/>
    <n v="155.1"/>
    <n v="160.30000000000001"/>
    <n v="160.30000000000001"/>
    <n v="157"/>
    <n v="164.6"/>
    <x v="0"/>
    <m/>
    <m/>
    <m/>
    <m/>
  </r>
  <r>
    <s v="Rural+Urban"/>
    <x v="8"/>
    <x v="9"/>
    <n v="147.4"/>
    <n v="204.6"/>
    <n v="171.2"/>
    <n v="158.69999999999999"/>
    <n v="190.6"/>
    <n v="155.69999999999999"/>
    <n v="185.3"/>
    <n v="165.2"/>
    <n v="121.9"/>
    <n v="169.3"/>
    <n v="163.19999999999999"/>
    <n v="174.7"/>
    <s v="After COVID"/>
    <n v="167.7"/>
    <n v="192.7"/>
    <n v="165.7"/>
    <n v="156.30000000000001"/>
    <n v="164.3"/>
    <n v="163.6"/>
    <n v="164.2"/>
    <n v="158.4"/>
    <n v="169.1"/>
    <n v="155.69999999999999"/>
    <n v="158.6"/>
    <n v="163.9"/>
    <n v="160.80000000000001"/>
    <n v="161"/>
    <n v="165.5"/>
    <x v="43"/>
    <n v="6.5232010759919428"/>
    <n v="8.1893793985924397"/>
    <n v="10.739687055476525"/>
    <n v="5.8184143222506357"/>
  </r>
  <r>
    <s v="Rural"/>
    <x v="8"/>
    <x v="11"/>
    <n v="146.9"/>
    <n v="199.8"/>
    <n v="171.5"/>
    <n v="159.1"/>
    <n v="198.4"/>
    <n v="153.19999999999999"/>
    <n v="183.9"/>
    <n v="165.4"/>
    <n v="122.1"/>
    <n v="170.8"/>
    <n v="169.1"/>
    <n v="174.3"/>
    <m/>
    <n v="167.5"/>
    <n v="191.4"/>
    <n v="170.4"/>
    <n v="166"/>
    <n v="169.8"/>
    <s v="NA"/>
    <n v="165.3"/>
    <n v="162.9"/>
    <n v="173.4"/>
    <n v="158.9"/>
    <n v="163.80000000000001"/>
    <n v="169.3"/>
    <n v="162.4"/>
    <n v="165.2"/>
    <n v="167.6"/>
    <x v="0"/>
    <m/>
    <m/>
    <m/>
    <m/>
  </r>
  <r>
    <s v="Urban"/>
    <x v="8"/>
    <x v="11"/>
    <n v="151"/>
    <n v="204.9"/>
    <n v="175.4"/>
    <n v="159.6"/>
    <n v="175.8"/>
    <n v="160.30000000000001"/>
    <n v="229.1"/>
    <n v="165.1"/>
    <n v="123.1"/>
    <n v="167.2"/>
    <n v="156.1"/>
    <n v="176.8"/>
    <m/>
    <n v="173.5"/>
    <n v="197"/>
    <n v="162.30000000000001"/>
    <n v="145.30000000000001"/>
    <n v="159.69999999999999"/>
    <n v="164.2"/>
    <n v="161.6"/>
    <n v="155.19999999999999"/>
    <n v="164.2"/>
    <n v="151.19999999999999"/>
    <n v="156.69999999999999"/>
    <n v="160.80000000000001"/>
    <n v="161.80000000000001"/>
    <n v="157.30000000000001"/>
    <n v="165.6"/>
    <x v="0"/>
    <m/>
    <m/>
    <m/>
    <m/>
  </r>
  <r>
    <s v="Rural+Urban"/>
    <x v="8"/>
    <x v="11"/>
    <n v="148.19999999999999"/>
    <n v="201.6"/>
    <n v="173"/>
    <n v="159.30000000000001"/>
    <n v="190.1"/>
    <n v="156.5"/>
    <n v="199.2"/>
    <n v="165.3"/>
    <n v="122.4"/>
    <n v="169.6"/>
    <n v="163.69999999999999"/>
    <n v="175.5"/>
    <s v="After COVID"/>
    <n v="169.7"/>
    <n v="192.9"/>
    <n v="167.2"/>
    <n v="157.4"/>
    <n v="165.8"/>
    <n v="164.2"/>
    <n v="163.9"/>
    <n v="159.30000000000001"/>
    <n v="169.9"/>
    <n v="154.80000000000001"/>
    <n v="159.80000000000001"/>
    <n v="164.3"/>
    <n v="162.19999999999999"/>
    <n v="161.4"/>
    <n v="166.7"/>
    <x v="44"/>
    <n v="6.7694369973190502"/>
    <n v="8.0788804071246929"/>
    <n v="10.256410256410261"/>
    <n v="5.239898989898979"/>
  </r>
  <r>
    <s v="Rural"/>
    <x v="8"/>
    <x v="12"/>
    <n v="147.4"/>
    <n v="197"/>
    <n v="176.5"/>
    <n v="159.80000000000001"/>
    <n v="195.8"/>
    <n v="152"/>
    <n v="172.3"/>
    <n v="164.5"/>
    <n v="120.6"/>
    <n v="171.7"/>
    <n v="169.7"/>
    <n v="175.1"/>
    <m/>
    <n v="165.8"/>
    <n v="190.8"/>
    <n v="171.8"/>
    <n v="167.3"/>
    <n v="171.2"/>
    <s v="NA"/>
    <n v="165.6"/>
    <n v="163.9"/>
    <n v="174"/>
    <n v="160.1"/>
    <n v="164.5"/>
    <n v="169.7"/>
    <n v="162.80000000000001"/>
    <n v="166"/>
    <n v="167"/>
    <x v="0"/>
    <m/>
    <m/>
    <m/>
    <m/>
  </r>
  <r>
    <s v="Urban"/>
    <x v="8"/>
    <x v="12"/>
    <n v="151.6"/>
    <n v="202.2"/>
    <n v="180"/>
    <n v="160"/>
    <n v="173.5"/>
    <n v="158.30000000000001"/>
    <n v="219.5"/>
    <n v="164.2"/>
    <n v="121.9"/>
    <n v="168.2"/>
    <n v="156.5"/>
    <n v="178.2"/>
    <m/>
    <n v="172.2"/>
    <n v="196.8"/>
    <n v="163.30000000000001"/>
    <n v="146.69999999999999"/>
    <n v="160.69999999999999"/>
    <n v="163.4"/>
    <n v="161.69999999999999"/>
    <n v="156"/>
    <n v="165.1"/>
    <n v="151.80000000000001"/>
    <n v="157.6"/>
    <n v="160.6"/>
    <n v="162.4"/>
    <n v="157.80000000000001"/>
    <n v="165.2"/>
    <x v="0"/>
    <m/>
    <m/>
    <m/>
    <m/>
  </r>
  <r>
    <s v="Rural+Urban"/>
    <x v="8"/>
    <x v="12"/>
    <n v="148.69999999999999"/>
    <n v="198.8"/>
    <n v="177.9"/>
    <n v="159.9"/>
    <n v="187.6"/>
    <n v="154.9"/>
    <n v="188.3"/>
    <n v="164.4"/>
    <n v="121"/>
    <n v="170.5"/>
    <n v="164.2"/>
    <n v="176.5"/>
    <s v="After COVID"/>
    <n v="168.2"/>
    <n v="192.4"/>
    <n v="168.5"/>
    <n v="158.69999999999999"/>
    <n v="167"/>
    <n v="163.4"/>
    <n v="164.1"/>
    <n v="160.19999999999999"/>
    <n v="170.6"/>
    <n v="155.69999999999999"/>
    <n v="160.6"/>
    <n v="164.4"/>
    <n v="162.6"/>
    <n v="162"/>
    <n v="166.2"/>
    <x v="45"/>
    <n v="7.0140280561122248"/>
    <n v="7.7700568540745305"/>
    <n v="10.660980810234543"/>
    <n v="4.5940843297671385"/>
  </r>
  <r>
    <s v="Rural"/>
    <x v="9"/>
    <x v="0"/>
    <n v="148.30000000000001"/>
    <n v="196.9"/>
    <n v="178"/>
    <n v="160.5"/>
    <n v="192.6"/>
    <n v="151.19999999999999"/>
    <n v="159.19999999999999"/>
    <n v="164"/>
    <n v="119.3"/>
    <n v="173.3"/>
    <n v="169.8"/>
    <n v="175.8"/>
    <m/>
    <n v="164.1"/>
    <n v="190.7"/>
    <n v="173.2"/>
    <n v="169.3"/>
    <n v="172.7"/>
    <s v="NA"/>
    <n v="165.8"/>
    <n v="164.9"/>
    <n v="174.7"/>
    <n v="160.80000000000001"/>
    <n v="164.9"/>
    <n v="169.9"/>
    <n v="163.19999999999999"/>
    <n v="166.6"/>
    <n v="166.4"/>
    <x v="0"/>
    <m/>
    <m/>
    <m/>
    <m/>
  </r>
  <r>
    <s v="Urban"/>
    <x v="9"/>
    <x v="0"/>
    <n v="152.19999999999999"/>
    <n v="202.1"/>
    <n v="180.1"/>
    <n v="160.4"/>
    <n v="171"/>
    <n v="156.5"/>
    <n v="203.6"/>
    <n v="163.80000000000001"/>
    <n v="121.3"/>
    <n v="169.8"/>
    <n v="156.6"/>
    <n v="179"/>
    <m/>
    <n v="170.3"/>
    <n v="196.4"/>
    <n v="164.7"/>
    <n v="148.5"/>
    <n v="162.19999999999999"/>
    <n v="164.5"/>
    <n v="161.6"/>
    <n v="156.80000000000001"/>
    <n v="166.1"/>
    <n v="152.69999999999999"/>
    <n v="158.4"/>
    <n v="161"/>
    <n v="162.80000000000001"/>
    <n v="158.6"/>
    <n v="165"/>
    <x v="0"/>
    <m/>
    <m/>
    <m/>
    <m/>
  </r>
  <r>
    <s v="Rural+Urban"/>
    <x v="9"/>
    <x v="0"/>
    <n v="149.5"/>
    <n v="198.7"/>
    <n v="178.8"/>
    <n v="160.5"/>
    <n v="184.7"/>
    <n v="153.69999999999999"/>
    <n v="174.3"/>
    <n v="163.9"/>
    <n v="120"/>
    <n v="172.1"/>
    <n v="164.3"/>
    <n v="177.3"/>
    <s v="After COVID"/>
    <n v="166.4"/>
    <n v="192.2"/>
    <n v="169.9"/>
    <n v="160.69999999999999"/>
    <n v="168.5"/>
    <n v="164.5"/>
    <n v="164.2"/>
    <n v="161.1"/>
    <n v="171.4"/>
    <n v="156.5"/>
    <n v="161.19999999999999"/>
    <n v="164.7"/>
    <n v="163"/>
    <n v="162.69999999999999"/>
    <n v="165.7"/>
    <x v="46"/>
    <n v="7.3999999999999968"/>
    <n v="7.5957313245448796"/>
    <n v="10.288935870331214"/>
    <n v="5.3401144310235074"/>
  </r>
  <r>
    <s v="Rural"/>
    <x v="9"/>
    <x v="1"/>
    <n v="148.80000000000001"/>
    <n v="198.1"/>
    <n v="175.5"/>
    <n v="160.69999999999999"/>
    <n v="192.6"/>
    <n v="151.4"/>
    <n v="155.19999999999999"/>
    <n v="163.9"/>
    <n v="118.1"/>
    <n v="175.4"/>
    <n v="170.5"/>
    <n v="176.3"/>
    <m/>
    <n v="163.9"/>
    <n v="191.5"/>
    <n v="174.1"/>
    <n v="171"/>
    <n v="173.7"/>
    <s v="NA"/>
    <n v="167.4"/>
    <n v="165.7"/>
    <n v="175.3"/>
    <n v="161.19999999999999"/>
    <n v="165.5"/>
    <n v="170.3"/>
    <n v="164.5"/>
    <n v="167.3"/>
    <n v="166.7"/>
    <x v="0"/>
    <m/>
    <m/>
    <m/>
    <m/>
  </r>
  <r>
    <s v="Urban"/>
    <x v="9"/>
    <x v="1"/>
    <n v="152.5"/>
    <n v="205.2"/>
    <n v="176.4"/>
    <n v="160.6"/>
    <n v="171.5"/>
    <n v="156.4"/>
    <n v="198"/>
    <n v="163.19999999999999"/>
    <n v="120.6"/>
    <n v="172.2"/>
    <n v="156.69999999999999"/>
    <n v="180"/>
    <m/>
    <n v="170.2"/>
    <n v="196.5"/>
    <n v="165.7"/>
    <n v="150.4"/>
    <n v="163.4"/>
    <n v="165.5"/>
    <n v="163"/>
    <n v="157.4"/>
    <n v="167.2"/>
    <n v="153.1"/>
    <n v="159.5"/>
    <n v="162"/>
    <n v="164.2"/>
    <n v="159.4"/>
    <n v="165.5"/>
    <x v="0"/>
    <m/>
    <m/>
    <m/>
    <m/>
  </r>
  <r>
    <s v="Rural+Urban"/>
    <x v="9"/>
    <x v="1"/>
    <n v="150"/>
    <n v="200.6"/>
    <n v="175.8"/>
    <n v="160.69999999999999"/>
    <n v="184.9"/>
    <n v="153.69999999999999"/>
    <n v="169.7"/>
    <n v="163.69999999999999"/>
    <n v="118.9"/>
    <n v="174.3"/>
    <n v="164.7"/>
    <n v="178"/>
    <s v="After COVID"/>
    <n v="166.2"/>
    <n v="192.8"/>
    <n v="170.8"/>
    <n v="162.4"/>
    <n v="169.6"/>
    <n v="165.5"/>
    <n v="165.7"/>
    <n v="161.80000000000001"/>
    <n v="172.2"/>
    <n v="156.9"/>
    <n v="162.1"/>
    <n v="165.4"/>
    <n v="164.4"/>
    <n v="163.5"/>
    <n v="166.1"/>
    <x v="47"/>
    <n v="7.2233267064281019"/>
    <n v="6.7575945443273264"/>
    <n v="8.1323225361819524"/>
    <n v="6.0664112388250322"/>
  </r>
  <r>
    <s v="Rural"/>
    <x v="9"/>
    <x v="2"/>
    <n v="150.19999999999999"/>
    <n v="208"/>
    <n v="167.9"/>
    <n v="162"/>
    <n v="203.1"/>
    <n v="155.9"/>
    <n v="155.80000000000001"/>
    <n v="164.2"/>
    <n v="118.1"/>
    <n v="178.7"/>
    <n v="171.2"/>
    <n v="177.4"/>
    <m/>
    <n v="166.6"/>
    <n v="192.3"/>
    <n v="175.4"/>
    <n v="173.2"/>
    <n v="175.1"/>
    <s v="NA"/>
    <n v="168.9"/>
    <n v="166.5"/>
    <n v="176"/>
    <n v="162"/>
    <n v="166.6"/>
    <n v="170.6"/>
    <n v="167.4"/>
    <n v="168.3"/>
    <n v="168.7"/>
    <x v="0"/>
    <m/>
    <m/>
    <m/>
    <m/>
  </r>
  <r>
    <s v="Urban"/>
    <x v="9"/>
    <x v="2"/>
    <n v="153.69999999999999"/>
    <n v="215.8"/>
    <n v="167.7"/>
    <n v="162.6"/>
    <n v="180"/>
    <n v="159.6"/>
    <n v="188.4"/>
    <n v="163.4"/>
    <n v="120.3"/>
    <n v="174.7"/>
    <n v="157.1"/>
    <n v="181.5"/>
    <m/>
    <n v="171.5"/>
    <n v="197.5"/>
    <n v="167.1"/>
    <n v="152.6"/>
    <n v="164.9"/>
    <n v="165.3"/>
    <n v="164.5"/>
    <n v="158.6"/>
    <n v="168.2"/>
    <n v="154.19999999999999"/>
    <n v="160.80000000000001"/>
    <n v="162.69999999999999"/>
    <n v="166.8"/>
    <n v="160.6"/>
    <n v="166.5"/>
    <x v="0"/>
    <m/>
    <m/>
    <m/>
    <m/>
  </r>
  <r>
    <s v="Rural+Urban"/>
    <x v="9"/>
    <x v="2"/>
    <n v="151.30000000000001"/>
    <n v="210.7"/>
    <n v="167.8"/>
    <n v="162.19999999999999"/>
    <n v="194.6"/>
    <n v="157.6"/>
    <n v="166.9"/>
    <n v="163.9"/>
    <n v="118.8"/>
    <n v="177.4"/>
    <n v="165.3"/>
    <n v="179.3"/>
    <s v="After COVID"/>
    <n v="168.4"/>
    <n v="193.7"/>
    <n v="172.1"/>
    <n v="164.6"/>
    <n v="171.1"/>
    <n v="165.3"/>
    <n v="167.2"/>
    <n v="162.80000000000001"/>
    <n v="173"/>
    <n v="157.9"/>
    <n v="163.30000000000001"/>
    <n v="166"/>
    <n v="167.2"/>
    <n v="164.6"/>
    <n v="167.7"/>
    <x v="48"/>
    <n v="7.6719576719576885"/>
    <n v="6.9882498453927102"/>
    <n v="8.0027359781121863"/>
    <n v="6.9515306122448823"/>
  </r>
  <r>
    <s v="Rural"/>
    <x v="9"/>
    <x v="3"/>
    <n v="151.80000000000001"/>
    <n v="209.7"/>
    <n v="164.5"/>
    <n v="163.80000000000001"/>
    <n v="207.4"/>
    <n v="169.7"/>
    <n v="153.6"/>
    <n v="165.1"/>
    <n v="118.2"/>
    <n v="182.9"/>
    <n v="172.4"/>
    <n v="178.9"/>
    <m/>
    <n v="168.6"/>
    <n v="192.8"/>
    <n v="177.5"/>
    <n v="175.1"/>
    <n v="177.1"/>
    <s v="NA"/>
    <n v="173.3"/>
    <n v="167.7"/>
    <n v="177"/>
    <n v="166.2"/>
    <n v="167.2"/>
    <n v="170.9"/>
    <n v="169"/>
    <n v="170.2"/>
    <n v="170.8"/>
    <x v="0"/>
    <m/>
    <m/>
    <m/>
    <m/>
  </r>
  <r>
    <s v="Urban"/>
    <x v="9"/>
    <x v="3"/>
    <n v="155.4"/>
    <n v="215.8"/>
    <n v="164.6"/>
    <n v="164.2"/>
    <n v="186"/>
    <n v="175.9"/>
    <n v="190.7"/>
    <n v="164"/>
    <n v="120.5"/>
    <n v="178"/>
    <n v="157.5"/>
    <n v="183.3"/>
    <m/>
    <n v="174.5"/>
    <n v="197.1"/>
    <n v="168.4"/>
    <n v="154.5"/>
    <n v="166.3"/>
    <n v="167"/>
    <n v="170.5"/>
    <n v="159.80000000000001"/>
    <n v="169"/>
    <n v="159.30000000000001"/>
    <n v="162.19999999999999"/>
    <n v="164"/>
    <n v="168.4"/>
    <n v="163.1"/>
    <n v="169.2"/>
    <x v="0"/>
    <m/>
    <m/>
    <m/>
    <m/>
  </r>
  <r>
    <s v="Rural+Urban"/>
    <x v="9"/>
    <x v="3"/>
    <n v="152.9"/>
    <n v="211.8"/>
    <n v="164.5"/>
    <n v="163.9"/>
    <n v="199.5"/>
    <n v="172.6"/>
    <n v="166.2"/>
    <n v="164.7"/>
    <n v="119"/>
    <n v="181.3"/>
    <n v="166.2"/>
    <n v="180.9"/>
    <s v="After COVID"/>
    <n v="170.8"/>
    <n v="193.9"/>
    <n v="173.9"/>
    <n v="166.5"/>
    <n v="172.8"/>
    <n v="167"/>
    <n v="172.2"/>
    <n v="164"/>
    <n v="174"/>
    <n v="162.6"/>
    <n v="164.4"/>
    <n v="166.9"/>
    <n v="168.8"/>
    <n v="166.8"/>
    <n v="170.1"/>
    <x v="49"/>
    <n v="8.0368906455862898"/>
    <n v="7.2088724584103439"/>
    <n v="10.914051841746248"/>
    <n v="7.7946768060836389"/>
  </r>
  <r>
    <s v="Rural"/>
    <x v="9"/>
    <x v="4"/>
    <n v="152.9"/>
    <n v="214.7"/>
    <n v="161.4"/>
    <n v="164.6"/>
    <n v="209.9"/>
    <n v="168"/>
    <n v="160.4"/>
    <n v="165"/>
    <n v="118.9"/>
    <n v="186.6"/>
    <n v="173.2"/>
    <n v="180.4"/>
    <m/>
    <n v="170.8"/>
    <n v="192.9"/>
    <n v="179.3"/>
    <n v="177.2"/>
    <n v="179"/>
    <s v="NA"/>
    <n v="175.3"/>
    <n v="168.9"/>
    <n v="177.7"/>
    <n v="167.1"/>
    <n v="167.6"/>
    <n v="171.8"/>
    <n v="168.5"/>
    <n v="170.9"/>
    <n v="172.5"/>
    <x v="0"/>
    <m/>
    <m/>
    <m/>
    <m/>
  </r>
  <r>
    <s v="Urban"/>
    <x v="9"/>
    <x v="4"/>
    <n v="156.69999999999999"/>
    <n v="221.2"/>
    <n v="164.1"/>
    <n v="165.4"/>
    <n v="189.5"/>
    <n v="174.5"/>
    <n v="203.2"/>
    <n v="164.1"/>
    <n v="121.2"/>
    <n v="181.4"/>
    <n v="158.5"/>
    <n v="184.9"/>
    <m/>
    <n v="177.5"/>
    <n v="197.5"/>
    <n v="170"/>
    <n v="155.9"/>
    <n v="167.8"/>
    <n v="167.5"/>
    <n v="173.5"/>
    <n v="161.1"/>
    <n v="170.1"/>
    <n v="159.4"/>
    <n v="163.19999999999999"/>
    <n v="165.2"/>
    <n v="168.2"/>
    <n v="163.80000000000001"/>
    <n v="170.8"/>
    <x v="0"/>
    <m/>
    <m/>
    <m/>
    <m/>
  </r>
  <r>
    <s v="Rural+Urban"/>
    <x v="9"/>
    <x v="4"/>
    <n v="154.1"/>
    <n v="217"/>
    <n v="162.4"/>
    <n v="164.9"/>
    <n v="202.4"/>
    <n v="171"/>
    <n v="174.9"/>
    <n v="164.7"/>
    <n v="119.7"/>
    <n v="184.9"/>
    <n v="167.1"/>
    <n v="182.5"/>
    <s v="After COVID"/>
    <n v="173.3"/>
    <n v="194.1"/>
    <n v="175.6"/>
    <n v="168.4"/>
    <n v="174.6"/>
    <n v="167.5"/>
    <n v="174.6"/>
    <n v="165.2"/>
    <n v="174.8"/>
    <n v="163"/>
    <n v="165.1"/>
    <n v="167.9"/>
    <n v="168.4"/>
    <n v="167.5"/>
    <n v="171.7"/>
    <x v="50"/>
    <n v="6.7873303167420822"/>
    <n v="5.4282267792521104"/>
    <n v="9.4694425789120178"/>
    <n v="7.044887780548617"/>
  </r>
  <r>
    <s v="Rural"/>
    <x v="9"/>
    <x v="5"/>
    <n v="153.80000000000001"/>
    <n v="217.2"/>
    <n v="169.6"/>
    <n v="165.4"/>
    <n v="208.1"/>
    <n v="165.8"/>
    <n v="167.3"/>
    <n v="164.6"/>
    <n v="119.1"/>
    <n v="188.9"/>
    <n v="174.2"/>
    <n v="181.9"/>
    <m/>
    <n v="172.4"/>
    <n v="192.9"/>
    <n v="180.7"/>
    <n v="178.7"/>
    <n v="180.4"/>
    <s v="NA"/>
    <n v="176.7"/>
    <n v="170.3"/>
    <n v="178.2"/>
    <n v="165.5"/>
    <n v="168"/>
    <n v="172.6"/>
    <n v="169.5"/>
    <n v="171"/>
    <n v="173.6"/>
    <x v="0"/>
    <m/>
    <m/>
    <m/>
    <m/>
  </r>
  <r>
    <s v="Urban"/>
    <x v="9"/>
    <x v="5"/>
    <n v="157.5"/>
    <n v="223.4"/>
    <n v="172.8"/>
    <n v="166.4"/>
    <n v="188.6"/>
    <n v="174.1"/>
    <n v="211.5"/>
    <n v="163.6"/>
    <n v="121.4"/>
    <n v="183.5"/>
    <n v="159.1"/>
    <n v="186.3"/>
    <m/>
    <n v="179.3"/>
    <n v="198.3"/>
    <n v="171.6"/>
    <n v="157.4"/>
    <n v="169.4"/>
    <n v="166.8"/>
    <n v="174.9"/>
    <n v="162.1"/>
    <n v="170.9"/>
    <n v="157.19999999999999"/>
    <n v="164.1"/>
    <n v="166.5"/>
    <n v="169.2"/>
    <n v="163.80000000000001"/>
    <n v="171.4"/>
    <x v="0"/>
    <m/>
    <m/>
    <m/>
    <m/>
  </r>
  <r>
    <s v="Rural+Urban"/>
    <x v="9"/>
    <x v="5"/>
    <n v="155"/>
    <n v="219.4"/>
    <n v="170.8"/>
    <n v="165.8"/>
    <n v="200.9"/>
    <n v="169.7"/>
    <n v="182.3"/>
    <n v="164.3"/>
    <n v="119.9"/>
    <n v="187.1"/>
    <n v="167.9"/>
    <n v="183.9"/>
    <s v="After COVID"/>
    <n v="174.9"/>
    <n v="194.3"/>
    <n v="177.1"/>
    <n v="169.9"/>
    <n v="176"/>
    <n v="166.8"/>
    <n v="176"/>
    <n v="166.4"/>
    <n v="175.4"/>
    <n v="161.1"/>
    <n v="165.8"/>
    <n v="169"/>
    <n v="169.4"/>
    <n v="167.5"/>
    <n v="172.6"/>
    <x v="51"/>
    <n v="7.4935400516795827"/>
    <n v="5.4720384846662622"/>
    <n v="6.9011280690112846"/>
    <n v="7.0055796652200755"/>
  </r>
  <r>
    <s v="Rural"/>
    <x v="9"/>
    <x v="6"/>
    <n v="155.19999999999999"/>
    <n v="210.8"/>
    <n v="174.3"/>
    <n v="166.3"/>
    <n v="202.2"/>
    <n v="169.6"/>
    <n v="168.6"/>
    <n v="164.4"/>
    <n v="119.2"/>
    <n v="191.8"/>
    <n v="174.5"/>
    <n v="183.1"/>
    <m/>
    <n v="172.5"/>
    <n v="193.2"/>
    <n v="182"/>
    <n v="180.3"/>
    <n v="181.7"/>
    <s v="NA"/>
    <n v="179.6"/>
    <n v="171.3"/>
    <n v="178.8"/>
    <n v="166.3"/>
    <n v="168.6"/>
    <n v="174.7"/>
    <n v="169.7"/>
    <n v="171.8"/>
    <n v="174.3"/>
    <x v="0"/>
    <m/>
    <m/>
    <m/>
    <m/>
  </r>
  <r>
    <s v="Urban"/>
    <x v="9"/>
    <x v="6"/>
    <n v="159.30000000000001"/>
    <n v="217.1"/>
    <n v="176.6"/>
    <n v="167.1"/>
    <n v="184.8"/>
    <n v="179.5"/>
    <n v="208.5"/>
    <n v="164"/>
    <n v="121.5"/>
    <n v="186.3"/>
    <n v="159.80000000000001"/>
    <n v="187.7"/>
    <m/>
    <n v="179.4"/>
    <n v="198.6"/>
    <n v="172.7"/>
    <n v="158.69999999999999"/>
    <n v="170.6"/>
    <n v="167.8"/>
    <n v="179.5"/>
    <n v="163.1"/>
    <n v="171.7"/>
    <n v="157.4"/>
    <n v="164.6"/>
    <n v="169.1"/>
    <n v="169.8"/>
    <n v="164.7"/>
    <n v="172.3"/>
    <x v="0"/>
    <m/>
    <m/>
    <m/>
    <m/>
  </r>
  <r>
    <s v="Rural+Urban"/>
    <x v="9"/>
    <x v="6"/>
    <n v="156.5"/>
    <n v="213"/>
    <n v="175.2"/>
    <n v="166.6"/>
    <n v="195.8"/>
    <n v="174.2"/>
    <n v="182.1"/>
    <n v="164.3"/>
    <n v="120"/>
    <n v="190"/>
    <n v="168.4"/>
    <n v="185.2"/>
    <s v="After COVID"/>
    <n v="175"/>
    <n v="194.6"/>
    <n v="178.3"/>
    <n v="171.3"/>
    <n v="177.3"/>
    <n v="167.8"/>
    <n v="179.6"/>
    <n v="167.4"/>
    <n v="176.1"/>
    <n v="161.6"/>
    <n v="166.3"/>
    <n v="171.4"/>
    <n v="169.7"/>
    <n v="168.4"/>
    <n v="173.4"/>
    <x v="52"/>
    <n v="7.4454428754813824"/>
    <n v="5.4491017964071826"/>
    <n v="5.5519268451992163"/>
    <n v="6.7076923076923114"/>
  </r>
  <r>
    <s v="Rural"/>
    <x v="9"/>
    <x v="7"/>
    <n v="159.5"/>
    <n v="204.1"/>
    <n v="168.3"/>
    <n v="167.9"/>
    <n v="198.1"/>
    <n v="169.2"/>
    <n v="173.1"/>
    <n v="167.1"/>
    <n v="120.2"/>
    <n v="195.6"/>
    <n v="174.8"/>
    <n v="184"/>
    <m/>
    <n v="173.9"/>
    <n v="193.7"/>
    <n v="183.2"/>
    <n v="181.7"/>
    <n v="183"/>
    <s v="NA"/>
    <n v="179.1"/>
    <n v="172.3"/>
    <n v="179.4"/>
    <n v="166.6"/>
    <n v="169.3"/>
    <n v="175.7"/>
    <n v="171.1"/>
    <n v="172.6"/>
    <n v="175.3"/>
    <x v="0"/>
    <m/>
    <m/>
    <m/>
    <m/>
  </r>
  <r>
    <s v="Urban"/>
    <x v="9"/>
    <x v="7"/>
    <n v="162.1"/>
    <n v="210.9"/>
    <n v="170.6"/>
    <n v="168.4"/>
    <n v="182.5"/>
    <n v="177.1"/>
    <n v="213.1"/>
    <n v="167.3"/>
    <n v="122.2"/>
    <n v="189.7"/>
    <n v="160.5"/>
    <n v="188.9"/>
    <m/>
    <n v="180.4"/>
    <n v="198.7"/>
    <n v="173.7"/>
    <n v="160"/>
    <n v="171.6"/>
    <n v="169"/>
    <n v="178.4"/>
    <n v="164.2"/>
    <n v="172.6"/>
    <n v="157.69999999999999"/>
    <n v="165.1"/>
    <n v="169.9"/>
    <n v="171.4"/>
    <n v="165.4"/>
    <n v="173.1"/>
    <x v="0"/>
    <m/>
    <m/>
    <m/>
    <m/>
  </r>
  <r>
    <s v="Rural+Urban"/>
    <x v="9"/>
    <x v="7"/>
    <n v="160.30000000000001"/>
    <n v="206.5"/>
    <n v="169.2"/>
    <n v="168.1"/>
    <n v="192.4"/>
    <n v="172.9"/>
    <n v="186.7"/>
    <n v="167.2"/>
    <n v="120.9"/>
    <n v="193.6"/>
    <n v="168.8"/>
    <n v="186.3"/>
    <s v="After COVID"/>
    <n v="176.3"/>
    <n v="195"/>
    <n v="179.5"/>
    <n v="172.7"/>
    <n v="178.5"/>
    <n v="169"/>
    <n v="178.8"/>
    <n v="168.5"/>
    <n v="176.8"/>
    <n v="161.9"/>
    <n v="166.9"/>
    <n v="172.3"/>
    <n v="171.2"/>
    <n v="169.1"/>
    <n v="174.3"/>
    <x v="53"/>
    <n v="6.9841269841269842"/>
    <n v="4.9881235154394332"/>
    <n v="5.1298701298701337"/>
    <n v="6.8014705882353086"/>
  </r>
  <r>
    <s v="Rural"/>
    <x v="9"/>
    <x v="8"/>
    <n v="162.9"/>
    <n v="206.7"/>
    <n v="169"/>
    <n v="169.5"/>
    <n v="194.1"/>
    <n v="164.1"/>
    <n v="176.9"/>
    <n v="169"/>
    <n v="120.8"/>
    <n v="199.1"/>
    <n v="175.4"/>
    <n v="184.8"/>
    <m/>
    <n v="175.5"/>
    <n v="194.5"/>
    <n v="184.7"/>
    <n v="183.3"/>
    <n v="184.5"/>
    <s v="NA"/>
    <n v="179.7"/>
    <n v="173.6"/>
    <n v="180.2"/>
    <n v="166.9"/>
    <n v="170"/>
    <n v="176.2"/>
    <n v="170.8"/>
    <n v="173.1"/>
    <n v="176.4"/>
    <x v="0"/>
    <m/>
    <m/>
    <m/>
    <m/>
  </r>
  <r>
    <s v="Urban"/>
    <x v="9"/>
    <x v="8"/>
    <n v="164.9"/>
    <n v="213.7"/>
    <n v="170.9"/>
    <n v="170.1"/>
    <n v="179.3"/>
    <n v="167.5"/>
    <n v="220.8"/>
    <n v="169.2"/>
    <n v="123.1"/>
    <n v="193.6"/>
    <n v="161.1"/>
    <n v="190.4"/>
    <m/>
    <n v="181.8"/>
    <n v="199.7"/>
    <n v="175"/>
    <n v="161.69999999999999"/>
    <n v="173"/>
    <n v="169.5"/>
    <n v="179.2"/>
    <n v="165"/>
    <n v="173.8"/>
    <n v="158.19999999999999"/>
    <n v="165.8"/>
    <n v="170.9"/>
    <n v="171.1"/>
    <n v="166.1"/>
    <n v="174.1"/>
    <x v="0"/>
    <m/>
    <m/>
    <m/>
    <m/>
  </r>
  <r>
    <s v="Rural+Urban"/>
    <x v="9"/>
    <x v="8"/>
    <n v="163.5"/>
    <n v="209.2"/>
    <n v="169.7"/>
    <n v="169.7"/>
    <n v="188.7"/>
    <n v="165.7"/>
    <n v="191.8"/>
    <n v="169.1"/>
    <n v="121.6"/>
    <n v="197.3"/>
    <n v="169.4"/>
    <n v="187.4"/>
    <s v="After COVID"/>
    <n v="177.8"/>
    <n v="195.9"/>
    <n v="180.9"/>
    <n v="174.3"/>
    <n v="179.9"/>
    <n v="169.5"/>
    <n v="179.5"/>
    <n v="169.5"/>
    <n v="177.8"/>
    <n v="162.30000000000001"/>
    <n v="167.6"/>
    <n v="173.1"/>
    <n v="170.9"/>
    <n v="169.7"/>
    <n v="175.3"/>
    <x v="54"/>
    <n v="7.6190476190476195"/>
    <n v="5.5819477434679365"/>
    <n v="5.3896103896103966"/>
    <n v="7.4142156862745239"/>
  </r>
  <r>
    <s v="Rural"/>
    <x v="9"/>
    <x v="9"/>
    <n v="164.7"/>
    <n v="208.8"/>
    <n v="170.3"/>
    <n v="170.9"/>
    <n v="191.6"/>
    <n v="162.19999999999999"/>
    <n v="184.8"/>
    <n v="169.7"/>
    <n v="121.1"/>
    <n v="201.6"/>
    <n v="175.8"/>
    <n v="185.6"/>
    <m/>
    <n v="177.4"/>
    <n v="194.9"/>
    <n v="186.1"/>
    <n v="184.4"/>
    <n v="185.9"/>
    <s v="NA"/>
    <n v="180.8"/>
    <n v="174.4"/>
    <n v="181.2"/>
    <n v="167.4"/>
    <n v="170.6"/>
    <n v="176.5"/>
    <n v="172"/>
    <n v="173.9"/>
    <n v="177.9"/>
    <x v="0"/>
    <m/>
    <m/>
    <m/>
    <m/>
  </r>
  <r>
    <s v="Urban"/>
    <x v="9"/>
    <x v="9"/>
    <n v="166.4"/>
    <n v="214.9"/>
    <n v="171.9"/>
    <n v="171"/>
    <n v="177.7"/>
    <n v="165.7"/>
    <n v="228.6"/>
    <n v="169.9"/>
    <n v="123.4"/>
    <n v="196.4"/>
    <n v="161.6"/>
    <n v="191.5"/>
    <m/>
    <n v="183.3"/>
    <n v="200.1"/>
    <n v="175.5"/>
    <n v="162.6"/>
    <n v="173.6"/>
    <n v="171.2"/>
    <n v="180"/>
    <n v="166"/>
    <n v="174.7"/>
    <n v="158.80000000000001"/>
    <n v="166.3"/>
    <n v="171.2"/>
    <n v="172.3"/>
    <n v="166.8"/>
    <n v="175.3"/>
    <x v="0"/>
    <m/>
    <m/>
    <m/>
    <m/>
  </r>
  <r>
    <s v="Rural+Urban"/>
    <x v="9"/>
    <x v="9"/>
    <n v="165.2"/>
    <n v="210.9"/>
    <n v="170.9"/>
    <n v="170.9"/>
    <n v="186.5"/>
    <n v="163.80000000000001"/>
    <n v="199.7"/>
    <n v="169.8"/>
    <n v="121.9"/>
    <n v="199.9"/>
    <n v="169.9"/>
    <n v="188.3"/>
    <s v="After COVID"/>
    <n v="179.6"/>
    <n v="196.3"/>
    <n v="181.9"/>
    <n v="175.3"/>
    <n v="181"/>
    <n v="171.2"/>
    <n v="180.5"/>
    <n v="170.4"/>
    <n v="178.7"/>
    <n v="162.9"/>
    <n v="168.2"/>
    <n v="173.4"/>
    <n v="172.1"/>
    <n v="170.5"/>
    <n v="176.7"/>
    <x v="55"/>
    <n v="7.5757575757575761"/>
    <n v="5.6771141336487254"/>
    <n v="4.6242774566474107"/>
    <n v="6.7673716012084526"/>
  </r>
  <r>
    <s v="Rural"/>
    <x v="9"/>
    <x v="11"/>
    <n v="166.9"/>
    <n v="207.2"/>
    <n v="180.2"/>
    <n v="172.3"/>
    <n v="194"/>
    <n v="159.1"/>
    <n v="171.6"/>
    <n v="170.2"/>
    <n v="121.5"/>
    <n v="204.8"/>
    <n v="176.4"/>
    <n v="186.9"/>
    <m/>
    <n v="176.6"/>
    <n v="195.5"/>
    <n v="187.2"/>
    <n v="185.2"/>
    <n v="186.9"/>
    <s v="NA"/>
    <n v="181.9"/>
    <n v="175.5"/>
    <n v="182.3"/>
    <n v="167.5"/>
    <n v="170.8"/>
    <n v="176.9"/>
    <n v="173.4"/>
    <n v="174.6"/>
    <n v="177.8"/>
    <x v="0"/>
    <m/>
    <m/>
    <m/>
    <m/>
  </r>
  <r>
    <s v="Urban"/>
    <x v="9"/>
    <x v="11"/>
    <n v="168.4"/>
    <n v="213.4"/>
    <n v="183.2"/>
    <n v="172.3"/>
    <n v="180"/>
    <n v="162.6"/>
    <n v="205.5"/>
    <n v="171"/>
    <n v="123.4"/>
    <n v="198.8"/>
    <n v="162.1"/>
    <n v="192.4"/>
    <m/>
    <n v="181.3"/>
    <n v="200.6"/>
    <n v="176.7"/>
    <n v="163.5"/>
    <n v="174.7"/>
    <n v="171.8"/>
    <n v="180.3"/>
    <n v="166.9"/>
    <n v="175.8"/>
    <n v="158.9"/>
    <n v="166.7"/>
    <n v="171.5"/>
    <n v="173.8"/>
    <n v="167.4"/>
    <n v="174.1"/>
    <x v="0"/>
    <m/>
    <m/>
    <m/>
    <m/>
  </r>
  <r>
    <s v="Rural+Urban"/>
    <x v="9"/>
    <x v="11"/>
    <n v="167.4"/>
    <n v="209.4"/>
    <n v="181.4"/>
    <n v="172.3"/>
    <n v="188.9"/>
    <n v="160.69999999999999"/>
    <n v="183.1"/>
    <n v="170.5"/>
    <n v="122.1"/>
    <n v="202.8"/>
    <n v="170.4"/>
    <n v="189.5"/>
    <s v="After COVID"/>
    <n v="178.3"/>
    <n v="196.9"/>
    <n v="183.1"/>
    <n v="176.2"/>
    <n v="182.1"/>
    <n v="171.8"/>
    <n v="181.3"/>
    <n v="171.4"/>
    <n v="179.8"/>
    <n v="163"/>
    <n v="168.5"/>
    <n v="173.7"/>
    <n v="173.6"/>
    <n v="171.1"/>
    <n v="176.5"/>
    <x v="56"/>
    <n v="7.5957313245448796"/>
    <n v="5.8269570335491494"/>
    <n v="5.2971576227390109"/>
    <n v="5.8788242351529769"/>
  </r>
  <r>
    <s v="Rural"/>
    <x v="9"/>
    <x v="12"/>
    <n v="168.8"/>
    <n v="206.9"/>
    <n v="189.1"/>
    <n v="173.4"/>
    <n v="193.9"/>
    <n v="156.69999999999999"/>
    <n v="150.19999999999999"/>
    <n v="170.5"/>
    <n v="121.2"/>
    <n v="207.5"/>
    <n v="176.8"/>
    <n v="187.7"/>
    <m/>
    <n v="174.4"/>
    <n v="195.9"/>
    <n v="188.1"/>
    <n v="185.9"/>
    <n v="187.8"/>
    <s v="NA"/>
    <n v="182.8"/>
    <n v="176.4"/>
    <n v="183.5"/>
    <n v="167.8"/>
    <n v="171.2"/>
    <n v="177.3"/>
    <n v="175.7"/>
    <n v="175.5"/>
    <n v="177.1"/>
    <x v="0"/>
    <m/>
    <m/>
    <m/>
    <m/>
  </r>
  <r>
    <s v="Urban"/>
    <x v="9"/>
    <x v="12"/>
    <n v="170.2"/>
    <n v="212.9"/>
    <n v="191.9"/>
    <n v="173.9"/>
    <n v="179.1"/>
    <n v="159.5"/>
    <n v="178.7"/>
    <n v="171.3"/>
    <n v="123.1"/>
    <n v="200.5"/>
    <n v="162.80000000000001"/>
    <n v="193.3"/>
    <m/>
    <n v="178.6"/>
    <n v="201.1"/>
    <n v="177.7"/>
    <n v="164.5"/>
    <n v="175.7"/>
    <n v="170.7"/>
    <n v="180.6"/>
    <n v="167.3"/>
    <n v="177.2"/>
    <n v="159.4"/>
    <n v="167.1"/>
    <n v="171.8"/>
    <n v="176"/>
    <n v="168.2"/>
    <n v="174.1"/>
    <x v="0"/>
    <m/>
    <m/>
    <m/>
    <m/>
  </r>
  <r>
    <s v="Rural+Urban"/>
    <x v="9"/>
    <x v="12"/>
    <n v="169.2"/>
    <n v="209"/>
    <n v="190.2"/>
    <n v="173.6"/>
    <n v="188.5"/>
    <n v="158"/>
    <n v="159.9"/>
    <n v="170.8"/>
    <n v="121.8"/>
    <n v="205.2"/>
    <n v="171"/>
    <n v="190.3"/>
    <s v="After COVID"/>
    <n v="175.9"/>
    <n v="197.3"/>
    <n v="184"/>
    <n v="177"/>
    <n v="183"/>
    <n v="170.7"/>
    <n v="182"/>
    <n v="172.1"/>
    <n v="181.1"/>
    <n v="163.4"/>
    <n v="168.9"/>
    <n v="174.1"/>
    <n v="175.8"/>
    <n v="172"/>
    <n v="175.7"/>
    <x v="57"/>
    <n v="7.4282147315855225"/>
    <n v="6.1547479484173513"/>
    <n v="4.945407835581257"/>
    <n v="5.7160048134777384"/>
  </r>
  <r>
    <s v="Rural"/>
    <x v="10"/>
    <x v="0"/>
    <n v="174"/>
    <n v="208.3"/>
    <n v="192.9"/>
    <n v="174.3"/>
    <n v="192.6"/>
    <n v="156.30000000000001"/>
    <n v="142.9"/>
    <n v="170.7"/>
    <n v="120.3"/>
    <n v="210.5"/>
    <n v="176.9"/>
    <n v="188.5"/>
    <m/>
    <n v="175"/>
    <n v="196.9"/>
    <n v="189"/>
    <n v="186.3"/>
    <n v="188.6"/>
    <s v="NA"/>
    <n v="183.2"/>
    <n v="177.2"/>
    <n v="184.7"/>
    <n v="168.2"/>
    <n v="171.8"/>
    <n v="177.8"/>
    <n v="178.4"/>
    <n v="176.5"/>
    <n v="177.8"/>
    <x v="0"/>
    <m/>
    <m/>
    <m/>
    <m/>
  </r>
  <r>
    <s v="Urban"/>
    <x v="10"/>
    <x v="0"/>
    <n v="173.3"/>
    <n v="215.2"/>
    <n v="197"/>
    <n v="175.2"/>
    <n v="178"/>
    <n v="160.5"/>
    <n v="175.3"/>
    <n v="171.2"/>
    <n v="122.7"/>
    <n v="204.3"/>
    <n v="163.69999999999999"/>
    <n v="194.3"/>
    <m/>
    <n v="179.5"/>
    <n v="201.6"/>
    <n v="178.7"/>
    <n v="165.3"/>
    <n v="176.6"/>
    <n v="172.1"/>
    <n v="180.1"/>
    <n v="168"/>
    <n v="178.5"/>
    <n v="159.5"/>
    <n v="167.8"/>
    <n v="171.8"/>
    <n v="178.8"/>
    <n v="168.9"/>
    <n v="174.9"/>
    <x v="0"/>
    <m/>
    <m/>
    <m/>
    <m/>
  </r>
  <r>
    <s v="Rural+Urban"/>
    <x v="10"/>
    <x v="0"/>
    <n v="173.8"/>
    <n v="210.7"/>
    <n v="194.5"/>
    <n v="174.6"/>
    <n v="187.2"/>
    <n v="158.30000000000001"/>
    <n v="153.9"/>
    <n v="170.9"/>
    <n v="121.1"/>
    <n v="208.4"/>
    <n v="171.4"/>
    <n v="191.2"/>
    <s v="After COVID"/>
    <n v="176.7"/>
    <n v="198.2"/>
    <n v="184.9"/>
    <n v="177.6"/>
    <n v="183.8"/>
    <n v="172.1"/>
    <n v="182"/>
    <n v="172.9"/>
    <n v="182.3"/>
    <n v="163.6"/>
    <n v="169.5"/>
    <n v="174.3"/>
    <n v="178.6"/>
    <n v="172.8"/>
    <n v="176.5"/>
    <x v="58"/>
    <n v="7.3246430788330308"/>
    <n v="6.3593932322053712"/>
    <n v="4.5367412140575043"/>
    <n v="6.5178032589016377"/>
  </r>
  <r>
    <s v="Rural"/>
    <x v="10"/>
    <x v="1"/>
    <n v="174.2"/>
    <n v="205.2"/>
    <n v="173.9"/>
    <n v="177"/>
    <n v="183.4"/>
    <n v="167.2"/>
    <n v="140.9"/>
    <n v="170.4"/>
    <n v="119.1"/>
    <n v="212.1"/>
    <n v="177.6"/>
    <n v="189.9"/>
    <m/>
    <n v="174.8"/>
    <n v="198.3"/>
    <n v="190"/>
    <n v="187"/>
    <n v="189.6"/>
    <s v="NA"/>
    <n v="181.6"/>
    <n v="178.6"/>
    <n v="186.6"/>
    <n v="169"/>
    <n v="172.8"/>
    <n v="178.5"/>
    <n v="180.7"/>
    <n v="177.9"/>
    <n v="178"/>
    <x v="0"/>
    <m/>
    <m/>
    <m/>
    <m/>
  </r>
  <r>
    <s v="Urban"/>
    <x v="10"/>
    <x v="1"/>
    <n v="174.7"/>
    <n v="212.2"/>
    <n v="177.2"/>
    <n v="177.9"/>
    <n v="172.2"/>
    <n v="172.1"/>
    <n v="175.8"/>
    <n v="172.2"/>
    <n v="121.9"/>
    <n v="204.8"/>
    <n v="164.9"/>
    <n v="196.6"/>
    <m/>
    <n v="180.7"/>
    <n v="202.7"/>
    <n v="180.3"/>
    <n v="167"/>
    <n v="178.2"/>
    <n v="173.5"/>
    <n v="182.8"/>
    <n v="169.2"/>
    <n v="180.8"/>
    <n v="159.80000000000001"/>
    <n v="168.4"/>
    <n v="172.5"/>
    <n v="181.4"/>
    <n v="170"/>
    <n v="176.3"/>
    <x v="0"/>
    <m/>
    <m/>
    <m/>
    <m/>
  </r>
  <r>
    <s v="Rural+Urban"/>
    <x v="10"/>
    <x v="1"/>
    <n v="174.4"/>
    <n v="207.7"/>
    <n v="175.2"/>
    <n v="177.3"/>
    <n v="179.3"/>
    <n v="169.5"/>
    <n v="152.69999999999999"/>
    <n v="171"/>
    <n v="120"/>
    <n v="209.7"/>
    <n v="172.3"/>
    <n v="193"/>
    <s v="After COVID"/>
    <n v="177"/>
    <n v="199.5"/>
    <n v="186.2"/>
    <n v="178.7"/>
    <n v="185.1"/>
    <n v="173.5"/>
    <n v="182.1"/>
    <n v="174.2"/>
    <n v="184.4"/>
    <n v="164.2"/>
    <n v="170.3"/>
    <n v="175"/>
    <n v="181"/>
    <n v="174.1"/>
    <n v="177.2"/>
    <x v="59"/>
    <n v="7.6637824474659926"/>
    <n v="7.0847851335656316"/>
    <n v="4.6526449968132457"/>
    <n v="6.6827212522576733"/>
  </r>
  <r>
    <s v="Rural"/>
    <x v="10"/>
    <x v="2"/>
    <n v="174.3"/>
    <n v="205.2"/>
    <n v="173.9"/>
    <n v="177"/>
    <n v="183.3"/>
    <n v="167.2"/>
    <n v="140.9"/>
    <n v="170.5"/>
    <n v="119.1"/>
    <n v="212.1"/>
    <n v="177.6"/>
    <n v="189.9"/>
    <m/>
    <n v="174.8"/>
    <n v="198.4"/>
    <n v="190"/>
    <n v="187"/>
    <n v="189.6"/>
    <s v="NA"/>
    <n v="181.4"/>
    <n v="178.6"/>
    <n v="186.6"/>
    <n v="169"/>
    <n v="172.8"/>
    <n v="178.5"/>
    <n v="180.7"/>
    <n v="177.9"/>
    <n v="178"/>
    <x v="0"/>
    <m/>
    <m/>
    <m/>
    <m/>
  </r>
  <r>
    <s v="Urban"/>
    <x v="10"/>
    <x v="2"/>
    <n v="174.7"/>
    <n v="212.2"/>
    <n v="177.2"/>
    <n v="177.9"/>
    <n v="172.2"/>
    <n v="172.1"/>
    <n v="175.9"/>
    <n v="172.2"/>
    <n v="121.9"/>
    <n v="204.8"/>
    <n v="164.9"/>
    <n v="196.6"/>
    <m/>
    <n v="180.8"/>
    <n v="202.7"/>
    <n v="180.2"/>
    <n v="167"/>
    <n v="178.2"/>
    <n v="173.5"/>
    <n v="182.6"/>
    <n v="169.2"/>
    <n v="180.8"/>
    <n v="159.80000000000001"/>
    <n v="168.4"/>
    <n v="172.5"/>
    <n v="181.5"/>
    <n v="170"/>
    <n v="176.3"/>
    <x v="0"/>
    <m/>
    <m/>
    <m/>
    <m/>
  </r>
  <r>
    <s v="Rural+Urban"/>
    <x v="10"/>
    <x v="2"/>
    <n v="174.4"/>
    <n v="207.7"/>
    <n v="175.2"/>
    <n v="177.3"/>
    <n v="179.2"/>
    <n v="169.5"/>
    <n v="152.80000000000001"/>
    <n v="171.1"/>
    <n v="120"/>
    <n v="209.7"/>
    <n v="172.3"/>
    <n v="193"/>
    <s v="After COVID"/>
    <n v="177"/>
    <n v="199.5"/>
    <n v="186.1"/>
    <n v="178.7"/>
    <n v="185.1"/>
    <n v="173.5"/>
    <n v="181.9"/>
    <n v="174.2"/>
    <n v="184.4"/>
    <n v="164.2"/>
    <n v="170.3"/>
    <n v="175"/>
    <n v="181"/>
    <n v="174.1"/>
    <n v="177.2"/>
    <x v="60"/>
    <n v="7.0024570024569881"/>
    <n v="6.5895953757225474"/>
    <n v="3.9898670044331745"/>
    <n v="5.6648777579010146"/>
  </r>
  <r>
    <s v="Rural"/>
    <x v="10"/>
    <x v="3"/>
    <n v="173.3"/>
    <n v="206.9"/>
    <n v="167.9"/>
    <n v="178.2"/>
    <n v="178.5"/>
    <n v="173.7"/>
    <n v="142.80000000000001"/>
    <n v="172.8"/>
    <n v="120.4"/>
    <n v="215.5"/>
    <n v="178.2"/>
    <n v="190.5"/>
    <m/>
    <n v="175.5"/>
    <n v="199.5"/>
    <n v="190.7"/>
    <n v="187.3"/>
    <n v="190.2"/>
    <s v="-"/>
    <n v="181.5"/>
    <n v="179.1"/>
    <n v="187.2"/>
    <n v="169.4"/>
    <n v="173.2"/>
    <n v="179.4"/>
    <n v="183.8"/>
    <n v="178.9"/>
    <n v="178.8"/>
    <x v="0"/>
    <m/>
    <m/>
    <m/>
    <m/>
  </r>
  <r>
    <s v="Urban"/>
    <x v="10"/>
    <x v="3"/>
    <n v="174.8"/>
    <n v="213.7"/>
    <n v="172.4"/>
    <n v="178.8"/>
    <n v="168.7"/>
    <n v="179.2"/>
    <n v="179.9"/>
    <n v="174.7"/>
    <n v="123.1"/>
    <n v="207.8"/>
    <n v="165.5"/>
    <n v="197"/>
    <m/>
    <n v="182.1"/>
    <n v="203.5"/>
    <n v="181"/>
    <n v="167.7"/>
    <n v="178.9"/>
    <n v="175.2"/>
    <n v="182.1"/>
    <n v="169.6"/>
    <n v="181.5"/>
    <n v="160.1"/>
    <n v="168.8"/>
    <n v="174.2"/>
    <n v="184.4"/>
    <n v="170.9"/>
    <n v="177.4"/>
    <x v="0"/>
    <m/>
    <m/>
    <m/>
    <m/>
  </r>
  <r>
    <s v="Rural+Urban"/>
    <x v="10"/>
    <x v="3"/>
    <n v="173.8"/>
    <n v="209.3"/>
    <n v="169.6"/>
    <n v="178.4"/>
    <n v="174.9"/>
    <n v="176.3"/>
    <n v="155.4"/>
    <n v="173.4"/>
    <n v="121.3"/>
    <n v="212.9"/>
    <n v="172.9"/>
    <n v="193.5"/>
    <s v="After COVID"/>
    <n v="177.9"/>
    <n v="200.6"/>
    <n v="186.9"/>
    <n v="179.2"/>
    <n v="185.7"/>
    <n v="175.2"/>
    <n v="181.7"/>
    <n v="174.6"/>
    <n v="185"/>
    <n v="164.5"/>
    <n v="170.7"/>
    <n v="176.4"/>
    <n v="184"/>
    <n v="175"/>
    <n v="178.1"/>
    <x v="61"/>
    <n v="6.4634146341463374"/>
    <n v="6.3218390804597711"/>
    <n v="1.1685116851168549"/>
    <n v="4.7031158142269254"/>
  </r>
  <r>
    <s v="Rural"/>
    <x v="10"/>
    <x v="4"/>
    <n v="173.2"/>
    <n v="211.5"/>
    <n v="171"/>
    <n v="179.6"/>
    <n v="173.3"/>
    <n v="169"/>
    <n v="148.69999999999999"/>
    <n v="174.9"/>
    <n v="121.9"/>
    <n v="221"/>
    <n v="178.7"/>
    <n v="191.1"/>
    <m/>
    <n v="176.8"/>
    <n v="199.9"/>
    <n v="191.2"/>
    <n v="187.9"/>
    <n v="190.8"/>
    <s v="-"/>
    <n v="182.5"/>
    <n v="179.8"/>
    <n v="187.8"/>
    <n v="169.7"/>
    <n v="173.8"/>
    <n v="180.3"/>
    <n v="184.9"/>
    <n v="179.5"/>
    <n v="179.8"/>
    <x v="0"/>
    <m/>
    <m/>
    <m/>
    <m/>
  </r>
  <r>
    <s v="Urban"/>
    <x v="10"/>
    <x v="4"/>
    <n v="174.7"/>
    <n v="219.4"/>
    <n v="176.7"/>
    <n v="179.4"/>
    <n v="164.4"/>
    <n v="175.8"/>
    <n v="185"/>
    <n v="176.9"/>
    <n v="124.2"/>
    <n v="211.9"/>
    <n v="165.9"/>
    <n v="197.7"/>
    <m/>
    <n v="183.1"/>
    <n v="204.2"/>
    <n v="181.3"/>
    <n v="168.1"/>
    <n v="179.3"/>
    <n v="175.6"/>
    <n v="183.4"/>
    <n v="170.1"/>
    <n v="182.2"/>
    <n v="160.4"/>
    <n v="169.2"/>
    <n v="174.8"/>
    <n v="185.6"/>
    <n v="171.6"/>
    <n v="178.2"/>
    <x v="0"/>
    <m/>
    <m/>
    <m/>
    <m/>
  </r>
  <r>
    <s v="Rural+Urban"/>
    <x v="10"/>
    <x v="4"/>
    <n v="173.7"/>
    <n v="214.3"/>
    <n v="173.2"/>
    <n v="179.5"/>
    <n v="170"/>
    <n v="172.2"/>
    <n v="161"/>
    <n v="175.6"/>
    <n v="122.7"/>
    <n v="218"/>
    <n v="173.4"/>
    <n v="194.2"/>
    <s v="After COVID"/>
    <n v="179.1"/>
    <n v="201"/>
    <n v="187.3"/>
    <n v="179.7"/>
    <n v="186.2"/>
    <n v="175.6"/>
    <n v="182.8"/>
    <n v="175.2"/>
    <n v="185.7"/>
    <n v="164.8"/>
    <n v="171.2"/>
    <n v="177.1"/>
    <n v="185.2"/>
    <n v="175.7"/>
    <n v="179.1"/>
    <x v="62"/>
    <n v="6.0532687651331729"/>
    <n v="6.2356979405034192"/>
    <n v="1.1042944785276143"/>
    <n v="4.309842748980783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3991930524369707"/>
    <n v="6.0270616577123688"/>
  </r>
  <r>
    <x v="1"/>
    <n v="4.1084658683936022"/>
    <n v="5.5969563103627511"/>
  </r>
  <r>
    <x v="2"/>
    <n v="6.2729034875792076"/>
    <n v="6.6432449214682388"/>
  </r>
  <r>
    <x v="3"/>
    <n v="3.7349607168137395"/>
    <n v="7.694716344742349"/>
  </r>
  <r>
    <x v="4"/>
    <n v="4.61145094259453"/>
    <n v="6.048500734102536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0"/>
    <m/>
  </r>
  <r>
    <x v="1"/>
    <n v="-0.11221849780136414"/>
  </r>
  <r>
    <x v="0"/>
    <m/>
  </r>
  <r>
    <x v="0"/>
    <m/>
  </r>
  <r>
    <x v="2"/>
    <n v="0.25592996506591298"/>
  </r>
  <r>
    <x v="0"/>
    <m/>
  </r>
  <r>
    <x v="0"/>
    <m/>
  </r>
  <r>
    <x v="3"/>
    <n v="-0.18782381563551392"/>
  </r>
  <r>
    <x v="0"/>
    <m/>
  </r>
  <r>
    <x v="0"/>
    <m/>
  </r>
  <r>
    <x v="4"/>
    <n v="-2.6009658643739591E-2"/>
  </r>
  <r>
    <x v="0"/>
    <m/>
  </r>
  <r>
    <x v="0"/>
    <m/>
  </r>
  <r>
    <x v="5"/>
    <n v="0.23787205762233332"/>
  </r>
  <r>
    <x v="0"/>
    <m/>
  </r>
  <r>
    <x v="0"/>
    <m/>
  </r>
  <r>
    <x v="6"/>
    <n v="0.29682663117031027"/>
  </r>
  <r>
    <x v="0"/>
    <m/>
  </r>
  <r>
    <x v="0"/>
    <m/>
  </r>
  <r>
    <x v="7"/>
    <n v="-2.7788791759460876E-2"/>
  </r>
  <r>
    <x v="0"/>
    <m/>
  </r>
  <r>
    <x v="0"/>
    <m/>
  </r>
  <r>
    <x v="8"/>
    <n v="0.11182567087214877"/>
  </r>
  <r>
    <x v="0"/>
    <m/>
  </r>
  <r>
    <x v="0"/>
    <m/>
  </r>
  <r>
    <x v="9"/>
    <n v="4.8900542484075216E-2"/>
  </r>
  <r>
    <x v="0"/>
    <m/>
  </r>
  <r>
    <x v="0"/>
    <m/>
  </r>
  <r>
    <x v="10"/>
    <n v="-9.140119635834451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62B0B6-AADD-459B-B4DB-99D4A8F7C8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78:V392" firstHeaderRow="1" firstDataRow="1" firstDataCol="1"/>
  <pivotFields count="2">
    <pivotField axis="axisRow" showAll="0">
      <items count="14">
        <item x="12"/>
        <item x="7"/>
        <item x="11"/>
        <item x="2"/>
        <item x="10"/>
        <item x="4"/>
        <item x="3"/>
        <item x="1"/>
        <item x="9"/>
        <item x="0"/>
        <item x="8"/>
        <item x="6"/>
        <item x="5"/>
        <item t="default"/>
      </items>
    </pivotField>
    <pivotField dataField="1" showAll="0"/>
  </pivotFields>
  <rowFields count="1">
    <field x="0"/>
  </rowFields>
  <rowItems count="14">
    <i>
      <x/>
    </i>
    <i>
      <x v="1"/>
    </i>
    <i>
      <x v="2"/>
    </i>
    <i>
      <x v="3"/>
    </i>
    <i>
      <x v="4"/>
    </i>
    <i>
      <x v="5"/>
    </i>
    <i>
      <x v="6"/>
    </i>
    <i>
      <x v="7"/>
    </i>
    <i>
      <x v="8"/>
    </i>
    <i>
      <x v="9"/>
    </i>
    <i>
      <x v="10"/>
    </i>
    <i>
      <x v="11"/>
    </i>
    <i>
      <x v="12"/>
    </i>
    <i t="grand">
      <x/>
    </i>
  </rowItems>
  <colItems count="1">
    <i/>
  </colItems>
  <dataFields count="1">
    <dataField name="% of Contribution" fld="1" showDataAs="percentOfTotal" baseField="0" baseItem="0" numFmtId="1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0" count="1" selected="0">
            <x v="0"/>
          </reference>
        </references>
      </pivotArea>
    </chartFormat>
    <chartFormat chart="5" format="30">
      <pivotArea type="data" outline="0" fieldPosition="0">
        <references count="2">
          <reference field="4294967294" count="1" selected="0">
            <x v="0"/>
          </reference>
          <reference field="0" count="1" selected="0">
            <x v="1"/>
          </reference>
        </references>
      </pivotArea>
    </chartFormat>
    <chartFormat chart="5" format="31">
      <pivotArea type="data" outline="0" fieldPosition="0">
        <references count="2">
          <reference field="4294967294" count="1" selected="0">
            <x v="0"/>
          </reference>
          <reference field="0" count="1" selected="0">
            <x v="2"/>
          </reference>
        </references>
      </pivotArea>
    </chartFormat>
    <chartFormat chart="5" format="32">
      <pivotArea type="data" outline="0" fieldPosition="0">
        <references count="2">
          <reference field="4294967294" count="1" selected="0">
            <x v="0"/>
          </reference>
          <reference field="0" count="1" selected="0">
            <x v="3"/>
          </reference>
        </references>
      </pivotArea>
    </chartFormat>
    <chartFormat chart="5" format="33">
      <pivotArea type="data" outline="0" fieldPosition="0">
        <references count="2">
          <reference field="4294967294" count="1" selected="0">
            <x v="0"/>
          </reference>
          <reference field="0" count="1" selected="0">
            <x v="4"/>
          </reference>
        </references>
      </pivotArea>
    </chartFormat>
    <chartFormat chart="5" format="34">
      <pivotArea type="data" outline="0" fieldPosition="0">
        <references count="2">
          <reference field="4294967294" count="1" selected="0">
            <x v="0"/>
          </reference>
          <reference field="0" count="1" selected="0">
            <x v="5"/>
          </reference>
        </references>
      </pivotArea>
    </chartFormat>
    <chartFormat chart="5" format="35">
      <pivotArea type="data" outline="0" fieldPosition="0">
        <references count="2">
          <reference field="4294967294" count="1" selected="0">
            <x v="0"/>
          </reference>
          <reference field="0" count="1" selected="0">
            <x v="6"/>
          </reference>
        </references>
      </pivotArea>
    </chartFormat>
    <chartFormat chart="5" format="36">
      <pivotArea type="data" outline="0" fieldPosition="0">
        <references count="2">
          <reference field="4294967294" count="1" selected="0">
            <x v="0"/>
          </reference>
          <reference field="0" count="1" selected="0">
            <x v="7"/>
          </reference>
        </references>
      </pivotArea>
    </chartFormat>
    <chartFormat chart="5" format="37">
      <pivotArea type="data" outline="0" fieldPosition="0">
        <references count="2">
          <reference field="4294967294" count="1" selected="0">
            <x v="0"/>
          </reference>
          <reference field="0" count="1" selected="0">
            <x v="8"/>
          </reference>
        </references>
      </pivotArea>
    </chartFormat>
    <chartFormat chart="5" format="38">
      <pivotArea type="data" outline="0" fieldPosition="0">
        <references count="2">
          <reference field="4294967294" count="1" selected="0">
            <x v="0"/>
          </reference>
          <reference field="0" count="1" selected="0">
            <x v="9"/>
          </reference>
        </references>
      </pivotArea>
    </chartFormat>
    <chartFormat chart="5" format="39">
      <pivotArea type="data" outline="0" fieldPosition="0">
        <references count="2">
          <reference field="4294967294" count="1" selected="0">
            <x v="0"/>
          </reference>
          <reference field="0" count="1" selected="0">
            <x v="10"/>
          </reference>
        </references>
      </pivotArea>
    </chartFormat>
    <chartFormat chart="5" format="40">
      <pivotArea type="data" outline="0" fieldPosition="0">
        <references count="2">
          <reference field="4294967294" count="1" selected="0">
            <x v="0"/>
          </reference>
          <reference field="0" count="1" selected="0">
            <x v="11"/>
          </reference>
        </references>
      </pivotArea>
    </chartFormat>
    <chartFormat chart="5" format="41">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CF0950-4C60-4DAF-808F-F1CF09B5D5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5:B393" firstHeaderRow="1" firstDataRow="1" firstDataCol="1"/>
  <pivotFields count="3">
    <pivotField axis="axisRow" showAll="0">
      <items count="8">
        <item x="0"/>
        <item x="1"/>
        <item x="2"/>
        <item x="3"/>
        <item x="4"/>
        <item x="5"/>
        <item x="6"/>
        <item t="default"/>
      </items>
    </pivotField>
    <pivotField numFmtId="164" showAll="0"/>
    <pivotField dataField="1" numFmtId="2" showAll="0"/>
  </pivotFields>
  <rowFields count="1">
    <field x="0"/>
  </rowFields>
  <rowItems count="8">
    <i>
      <x/>
    </i>
    <i>
      <x v="1"/>
    </i>
    <i>
      <x v="2"/>
    </i>
    <i>
      <x v="3"/>
    </i>
    <i>
      <x v="4"/>
    </i>
    <i>
      <x v="5"/>
    </i>
    <i>
      <x v="6"/>
    </i>
    <i t="grand">
      <x/>
    </i>
  </rowItems>
  <colItems count="1">
    <i/>
  </colItems>
  <dataFields count="1">
    <dataField name=" % Inflation" fld="2"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1EE88C-A2AE-4566-9EBC-05D1BA07A27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376:R392" firstHeaderRow="1" firstDataRow="1" firstDataCol="1"/>
  <pivotFields count="6">
    <pivotField axis="axisRow" numFmtId="17" showAll="0">
      <items count="14">
        <item x="0"/>
        <item x="1"/>
        <item x="2"/>
        <item x="3"/>
        <item x="4"/>
        <item x="5"/>
        <item x="6"/>
        <item x="7"/>
        <item x="8"/>
        <item x="9"/>
        <item x="10"/>
        <item x="11"/>
        <item x="12"/>
        <item t="default"/>
      </items>
    </pivotField>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x="2"/>
        <item x="3"/>
        <item x="4"/>
        <item sd="0" x="5"/>
        <item t="default"/>
      </items>
    </pivotField>
    <pivotField axis="axisRow" showAll="0">
      <items count="5">
        <item sd="0" x="0"/>
        <item x="1"/>
        <item x="2"/>
        <item sd="0" x="3"/>
        <item t="default"/>
      </items>
    </pivotField>
  </pivotFields>
  <rowFields count="3">
    <field x="5"/>
    <field x="3"/>
    <field x="0"/>
  </rowFields>
  <rowItems count="16">
    <i>
      <x v="1"/>
    </i>
    <i r="1">
      <x v="5"/>
    </i>
    <i r="1">
      <x v="6"/>
    </i>
    <i r="1">
      <x v="7"/>
    </i>
    <i r="1">
      <x v="8"/>
    </i>
    <i r="1">
      <x v="9"/>
    </i>
    <i r="1">
      <x v="10"/>
    </i>
    <i r="1">
      <x v="11"/>
    </i>
    <i r="1">
      <x v="12"/>
    </i>
    <i>
      <x v="2"/>
    </i>
    <i r="1">
      <x v="1"/>
    </i>
    <i r="1">
      <x v="2"/>
    </i>
    <i r="1">
      <x v="3"/>
    </i>
    <i r="1">
      <x v="4"/>
    </i>
    <i r="1">
      <x v="5"/>
    </i>
    <i t="grand">
      <x/>
    </i>
  </rowItems>
  <colItems count="1">
    <i/>
  </colItems>
  <dataFields count="1">
    <dataField name="% inflation" fld="2" baseField="5" baseItem="2" numFmtId="2"/>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246EA-1858-45E8-8577-2975564D355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76:G389" firstHeaderRow="1" firstDataRow="1" firstDataCol="1"/>
  <pivotFields count="4">
    <pivotField axis="axisRow" showAll="0">
      <items count="13">
        <item x="0"/>
        <item x="2"/>
        <item x="5"/>
        <item x="1"/>
        <item x="3"/>
        <item x="10"/>
        <item x="4"/>
        <item x="11"/>
        <item x="7"/>
        <item x="9"/>
        <item x="8"/>
        <item x="6"/>
        <item t="default"/>
      </items>
    </pivotField>
    <pivotField showAll="0"/>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Absolute Change"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847F37-4686-45B3-967A-73ED3A4AA55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376:S382" firstHeaderRow="0" firstDataRow="1" firstDataCol="1"/>
  <pivotFields count="3">
    <pivotField axis="axisRow" showAll="0">
      <items count="6">
        <item x="0"/>
        <item x="4"/>
        <item x="2"/>
        <item x="1"/>
        <item x="3"/>
        <item t="default"/>
      </items>
    </pivotField>
    <pivotField dataField="1" numFmtId="2" showAll="0"/>
    <pivotField dataField="1" numFmtId="2" showAll="0"/>
  </pivotFields>
  <rowFields count="1">
    <field x="0"/>
  </rowFields>
  <rowItems count="6">
    <i>
      <x/>
    </i>
    <i>
      <x v="1"/>
    </i>
    <i>
      <x v="2"/>
    </i>
    <i>
      <x v="3"/>
    </i>
    <i>
      <x v="4"/>
    </i>
    <i t="grand">
      <x/>
    </i>
  </rowItems>
  <colFields count="1">
    <field x="-2"/>
  </colFields>
  <colItems count="2">
    <i>
      <x/>
    </i>
    <i i="1">
      <x v="1"/>
    </i>
  </colItems>
  <dataFields count="2">
    <dataField name=" Before COVID" fld="1" baseField="0" baseItem="0" numFmtId="2"/>
    <dataField name=" After COVID" fld="2" baseField="0" baseItem="2"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38530-CFC4-40FB-BAD2-7515A182F88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F42" firstHeaderRow="0" firstDataRow="1" firstDataCol="1"/>
  <pivotFields count="36">
    <pivotField showAll="0"/>
    <pivotField axis="axisRow" multipleItemSelectionAllowed="1" showAll="0">
      <items count="12">
        <item h="1" x="0"/>
        <item h="1" x="1"/>
        <item h="1" x="2"/>
        <item h="1" x="3"/>
        <item h="1" x="4"/>
        <item h="1" x="5"/>
        <item x="6"/>
        <item x="7"/>
        <item x="8"/>
        <item h="1" x="9"/>
        <item h="1" x="10"/>
        <item t="default"/>
      </items>
    </pivotField>
    <pivotField axis="axisRow" showAll="0">
      <items count="15">
        <item x="0"/>
        <item x="1"/>
        <item x="2"/>
        <item x="3"/>
        <item x="4"/>
        <item x="5"/>
        <item x="6"/>
        <item x="7"/>
        <item x="8"/>
        <item x="9"/>
        <item x="11"/>
        <item x="12"/>
        <item x="1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s>
  <rowFields count="2">
    <field x="1"/>
    <field x="2"/>
  </rowFields>
  <rowItems count="39">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t="grand">
      <x/>
    </i>
  </rowItems>
  <colFields count="1">
    <field x="-2"/>
  </colFields>
  <colItems count="5">
    <i>
      <x/>
    </i>
    <i i="1">
      <x v="1"/>
    </i>
    <i i="2">
      <x v="2"/>
    </i>
    <i i="3">
      <x v="3"/>
    </i>
    <i i="4">
      <x v="4"/>
    </i>
  </colItems>
  <dataFields count="5">
    <dataField name="Food &amp; beverage" fld="31" baseField="1" baseItem="6" numFmtId="164"/>
    <dataField name="Household" fld="32" baseField="1" baseItem="6" numFmtId="164"/>
    <dataField name="Healthcare" fld="33" baseField="1" baseItem="6" numFmtId="164"/>
    <dataField name=" Geneal Index" fld="35" baseField="1" baseItem="6" numFmtId="164"/>
    <dataField name="Transport" fld="34" baseField="1" baseItem="6" numFmtId="164"/>
  </dataFields>
  <formats count="5">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4"/>
          </reference>
        </references>
      </pivotArea>
    </format>
  </formats>
  <chartFormats count="10">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2"/>
          </reference>
        </references>
      </pivotArea>
    </chartFormat>
    <chartFormat chart="17" format="13" series="1">
      <pivotArea type="data" outline="0" fieldPosition="0">
        <references count="1">
          <reference field="4294967294" count="1" selected="0">
            <x v="3"/>
          </reference>
        </references>
      </pivotArea>
    </chartFormat>
    <chartFormat chart="17"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45FB4C-7359-43FB-8628-9B3FA82682F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S322:AT334" firstHeaderRow="1" firstDataRow="1" firstDataCol="1"/>
  <pivotFields count="2">
    <pivotField axis="axisRow" showAll="0">
      <items count="12">
        <item x="2"/>
        <item x="8"/>
        <item x="1"/>
        <item x="4"/>
        <item x="10"/>
        <item x="6"/>
        <item x="5"/>
        <item x="3"/>
        <item x="9"/>
        <item x="7"/>
        <item x="0"/>
        <item t="default"/>
      </items>
    </pivotField>
    <pivotField dataField="1" showAll="0"/>
  </pivotFields>
  <rowFields count="1">
    <field x="0"/>
  </rowFields>
  <rowItems count="12">
    <i>
      <x/>
    </i>
    <i>
      <x v="1"/>
    </i>
    <i>
      <x v="2"/>
    </i>
    <i>
      <x v="3"/>
    </i>
    <i>
      <x v="4"/>
    </i>
    <i>
      <x v="5"/>
    </i>
    <i>
      <x v="6"/>
    </i>
    <i>
      <x v="7"/>
    </i>
    <i>
      <x v="8"/>
    </i>
    <i>
      <x v="9"/>
    </i>
    <i>
      <x v="10"/>
    </i>
    <i t="grand">
      <x/>
    </i>
  </rowItems>
  <colItems count="1">
    <i/>
  </colItems>
  <dataFields count="1">
    <dataField name=" Correl" fld="1" baseField="0" baseItem="0"/>
  </dataFields>
  <formats count="5">
    <format dxfId="4">
      <pivotArea dataOnly="0" labelOnly="1" outline="0" axis="axisValues" fieldPosition="0"/>
    </format>
    <format dxfId="3">
      <pivotArea collapsedLevelsAreSubtotals="1" fieldPosition="0">
        <references count="1">
          <reference field="0" count="1">
            <x v="2"/>
          </reference>
        </references>
      </pivotArea>
    </format>
    <format dxfId="2">
      <pivotArea collapsedLevelsAreSubtotals="1" fieldPosition="0">
        <references count="1">
          <reference field="0" count="1">
            <x v="5"/>
          </reference>
        </references>
      </pivotArea>
    </format>
    <format dxfId="1">
      <pivotArea collapsedLevelsAreSubtotals="1" fieldPosition="0">
        <references count="1">
          <reference field="0" count="1">
            <x v="8"/>
          </reference>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3F44603-9F95-46C3-95D9-1D1EBC294AE6}" sourceName="Month">
  <pivotTables>
    <pivotTable tabId="9" name="PivotTable7"/>
  </pivotTables>
  <data>
    <tabular pivotCacheId="1738892779">
      <items count="14">
        <i x="0" s="1"/>
        <i x="1" s="1"/>
        <i x="2" s="1"/>
        <i x="3" s="1"/>
        <i x="4" s="1"/>
        <i x="5" s="1"/>
        <i x="6" s="1"/>
        <i x="7" s="1"/>
        <i x="8" s="1"/>
        <i x="9" s="1"/>
        <i x="11" s="1"/>
        <i x="12" s="1"/>
        <i x="13"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16F9D27-0CC8-4A55-8BD9-4D67853626D9}" sourceName="Year">
  <pivotTables>
    <pivotTable tabId="5" name="PivotTable2"/>
  </pivotTables>
  <data>
    <tabular pivotCacheId="83116004">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5274651-347C-485D-8BFD-8E96396E912B}" cache="Slicer_Month" caption="Month" rowHeight="234950"/>
  <slicer name="Year" xr10:uid="{ECB53595-68F3-44F3-A16E-D055EEE929B4}"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D352D-BF58-4B90-A69A-9047DF493DEF}">
  <dimension ref="A1:AF373"/>
  <sheetViews>
    <sheetView workbookViewId="0">
      <selection activeCell="S21" sqref="S21"/>
    </sheetView>
  </sheetViews>
  <sheetFormatPr defaultRowHeight="14.4" x14ac:dyDescent="0.3"/>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2"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c r="AF2" t="s">
        <v>177</v>
      </c>
    </row>
    <row r="3" spans="1:32"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F3">
        <f>AVERAGEIFS(AD:AD, A:A, "Rural", B:B, 2023) - AVERAGEIFS(AD:AD, A:A, "Urban", B:B, 2023)</f>
        <v>1.8599999999999852</v>
      </c>
    </row>
    <row r="4" spans="1:32"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F4" t="s">
        <v>178</v>
      </c>
    </row>
    <row r="5" spans="1:32"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c r="AF5">
        <f>(AVERAGEIFS(AD:AD, A:A, "Rural+Urban", B:B, 2023) - AVERAGEIFS(AD:AD, A:A, "Rural+Urban", B:B, 2013)) / AVERAGEIFS(AD:AD, A:A, "Rural+Urban", B:B, 2013)</f>
        <v>0.61423810966373849</v>
      </c>
    </row>
    <row r="6" spans="1:32"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F6" t="s">
        <v>179</v>
      </c>
    </row>
    <row r="7" spans="1:32"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F7">
        <f>_xlfn.STDEV.S(E:E)</f>
        <v>33.354866368901874</v>
      </c>
    </row>
    <row r="8" spans="1:32"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c r="AF8" t="s">
        <v>180</v>
      </c>
    </row>
    <row r="9" spans="1:32"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F9">
        <f>AVERAGEIFS(L:L, A:A, "Rural+Urban", B:B, 2023)</f>
        <v>121.02000000000001</v>
      </c>
    </row>
    <row r="10" spans="1:32"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F10" t="s">
        <v>181</v>
      </c>
    </row>
    <row r="11" spans="1:32"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c r="AF11">
        <f>AVERAGEIFS(P:P, A:A, "Rural+Urban", B:B, 2023)</f>
        <v>177.54000000000002</v>
      </c>
    </row>
    <row r="12" spans="1:32"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2"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2"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2"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2"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23854-D789-4F95-A399-20979863136C}">
  <dimension ref="A1:AD32"/>
  <sheetViews>
    <sheetView workbookViewId="0">
      <selection activeCell="B16" sqref="B16"/>
    </sheetView>
  </sheetViews>
  <sheetFormatPr defaultRowHeight="14.4" x14ac:dyDescent="0.3"/>
  <cols>
    <col min="1" max="1" width="30" customWidth="1"/>
    <col min="2" max="2" width="37.109375" style="1" customWidth="1"/>
  </cols>
  <sheetData>
    <row r="1" spans="1:30" x14ac:dyDescent="0.3">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21" x14ac:dyDescent="0.4">
      <c r="A2" s="2" t="s">
        <v>49</v>
      </c>
      <c r="B2" s="3" t="s">
        <v>50</v>
      </c>
    </row>
    <row r="3" spans="1:30" x14ac:dyDescent="0.3">
      <c r="A3" t="str" cm="1">
        <f t="array" ref="A3:A32">TRANSPOSE(A1:AD1)</f>
        <v>Sector</v>
      </c>
      <c r="B3" s="1" t="s">
        <v>51</v>
      </c>
      <c r="C3" t="s">
        <v>52</v>
      </c>
    </row>
    <row r="4" spans="1:30" x14ac:dyDescent="0.3">
      <c r="A4" t="str">
        <v>Year</v>
      </c>
      <c r="B4" s="1" t="s">
        <v>53</v>
      </c>
    </row>
    <row r="5" spans="1:30" x14ac:dyDescent="0.3">
      <c r="A5" t="str">
        <v>Month</v>
      </c>
      <c r="B5" s="1" t="s">
        <v>54</v>
      </c>
    </row>
    <row r="6" spans="1:30" ht="18" x14ac:dyDescent="0.35">
      <c r="A6" t="str">
        <v>Cereals and products</v>
      </c>
      <c r="B6" s="1" t="str">
        <f>CONCATENATE($C$3, " ",A6)</f>
        <v>CPI for Cereals and products</v>
      </c>
      <c r="E6" s="4" t="s">
        <v>55</v>
      </c>
    </row>
    <row r="7" spans="1:30" x14ac:dyDescent="0.3">
      <c r="A7" t="str">
        <v>Meat and fish</v>
      </c>
      <c r="B7" s="1" t="str">
        <f t="shared" ref="B7:B32" si="0">CONCATENATE($C$3, " ",A7)</f>
        <v>CPI for Meat and fish</v>
      </c>
      <c r="E7" t="s">
        <v>56</v>
      </c>
    </row>
    <row r="8" spans="1:30" x14ac:dyDescent="0.3">
      <c r="A8" t="str">
        <v>Egg</v>
      </c>
      <c r="B8" s="1" t="str">
        <f t="shared" si="0"/>
        <v>CPI for Egg</v>
      </c>
      <c r="E8" t="s">
        <v>57</v>
      </c>
    </row>
    <row r="9" spans="1:30" x14ac:dyDescent="0.3">
      <c r="A9" t="str">
        <v>Milk and products</v>
      </c>
      <c r="B9" s="1" t="str">
        <f t="shared" si="0"/>
        <v>CPI for Milk and products</v>
      </c>
    </row>
    <row r="10" spans="1:30" x14ac:dyDescent="0.3">
      <c r="A10" t="str">
        <v>Oils and fats</v>
      </c>
      <c r="B10" s="1" t="str">
        <f t="shared" si="0"/>
        <v>CPI for Oils and fats</v>
      </c>
    </row>
    <row r="11" spans="1:30" x14ac:dyDescent="0.3">
      <c r="A11" t="str">
        <v>Fruits</v>
      </c>
      <c r="B11" s="1" t="str">
        <f t="shared" si="0"/>
        <v>CPI for Fruits</v>
      </c>
    </row>
    <row r="12" spans="1:30" x14ac:dyDescent="0.3">
      <c r="A12" t="str">
        <v>Vegetables</v>
      </c>
      <c r="B12" s="1" t="str">
        <f t="shared" si="0"/>
        <v>CPI for Vegetables</v>
      </c>
    </row>
    <row r="13" spans="1:30" x14ac:dyDescent="0.3">
      <c r="A13" t="str">
        <v>Pulses and products</v>
      </c>
      <c r="B13" s="1" t="str">
        <f t="shared" si="0"/>
        <v>CPI for Pulses and products</v>
      </c>
    </row>
    <row r="14" spans="1:30" x14ac:dyDescent="0.3">
      <c r="A14" t="str">
        <v>Sugar and Confectionery</v>
      </c>
      <c r="B14" s="1" t="str">
        <f t="shared" si="0"/>
        <v>CPI for Sugar and Confectionery</v>
      </c>
    </row>
    <row r="15" spans="1:30" x14ac:dyDescent="0.3">
      <c r="A15" t="str">
        <v>Spices</v>
      </c>
      <c r="B15" s="1" t="str">
        <f t="shared" si="0"/>
        <v>CPI for Spices</v>
      </c>
    </row>
    <row r="16" spans="1:30" x14ac:dyDescent="0.3">
      <c r="A16" t="str">
        <v>Non-alcoholic beverages</v>
      </c>
      <c r="B16" s="1" t="str">
        <f t="shared" si="0"/>
        <v>CPI for Non-alcoholic beverages</v>
      </c>
    </row>
    <row r="17" spans="1:2" x14ac:dyDescent="0.3">
      <c r="A17" t="str">
        <v>Prepared meals, snacks, sweets etc.</v>
      </c>
      <c r="B17" s="1" t="str">
        <f t="shared" si="0"/>
        <v>CPI for Prepared meals, snacks, sweets etc.</v>
      </c>
    </row>
    <row r="18" spans="1:2" x14ac:dyDescent="0.3">
      <c r="A18" t="str">
        <v>Food and beverages</v>
      </c>
      <c r="B18" s="1" t="str">
        <f t="shared" si="0"/>
        <v>CPI for Food and beverages</v>
      </c>
    </row>
    <row r="19" spans="1:2" x14ac:dyDescent="0.3">
      <c r="A19" t="str">
        <v>Pan, tobacco and intoxicants</v>
      </c>
      <c r="B19" s="1" t="str">
        <f t="shared" si="0"/>
        <v>CPI for Pan, tobacco and intoxicants</v>
      </c>
    </row>
    <row r="20" spans="1:2" x14ac:dyDescent="0.3">
      <c r="A20" t="str">
        <v>Clothing</v>
      </c>
      <c r="B20" s="1" t="str">
        <f t="shared" si="0"/>
        <v>CPI for Clothing</v>
      </c>
    </row>
    <row r="21" spans="1:2" x14ac:dyDescent="0.3">
      <c r="A21" t="str">
        <v>Footwear</v>
      </c>
      <c r="B21" s="1" t="str">
        <f t="shared" si="0"/>
        <v>CPI for Footwear</v>
      </c>
    </row>
    <row r="22" spans="1:2" x14ac:dyDescent="0.3">
      <c r="A22" t="str">
        <v>Clothing and footwear</v>
      </c>
      <c r="B22" s="1" t="str">
        <f t="shared" si="0"/>
        <v>CPI for Clothing and footwear</v>
      </c>
    </row>
    <row r="23" spans="1:2" x14ac:dyDescent="0.3">
      <c r="A23" t="str">
        <v>Housing</v>
      </c>
      <c r="B23" s="1" t="str">
        <f t="shared" si="0"/>
        <v>CPI for Housing</v>
      </c>
    </row>
    <row r="24" spans="1:2" x14ac:dyDescent="0.3">
      <c r="A24" t="str">
        <v>Fuel and light</v>
      </c>
      <c r="B24" s="1" t="str">
        <f t="shared" si="0"/>
        <v>CPI for Fuel and light</v>
      </c>
    </row>
    <row r="25" spans="1:2" x14ac:dyDescent="0.3">
      <c r="A25" t="str">
        <v>Household goods and services</v>
      </c>
      <c r="B25" s="1" t="str">
        <f t="shared" si="0"/>
        <v>CPI for Household goods and services</v>
      </c>
    </row>
    <row r="26" spans="1:2" x14ac:dyDescent="0.3">
      <c r="A26" t="str">
        <v>Health</v>
      </c>
      <c r="B26" s="1" t="str">
        <f t="shared" si="0"/>
        <v>CPI for Health</v>
      </c>
    </row>
    <row r="27" spans="1:2" x14ac:dyDescent="0.3">
      <c r="A27" t="str">
        <v>Transport and communication</v>
      </c>
      <c r="B27" s="1" t="str">
        <f t="shared" si="0"/>
        <v>CPI for Transport and communication</v>
      </c>
    </row>
    <row r="28" spans="1:2" x14ac:dyDescent="0.3">
      <c r="A28" t="str">
        <v>Recreation and amusement</v>
      </c>
      <c r="B28" s="1" t="str">
        <f t="shared" si="0"/>
        <v>CPI for Recreation and amusement</v>
      </c>
    </row>
    <row r="29" spans="1:2" x14ac:dyDescent="0.3">
      <c r="A29" t="str">
        <v>Education</v>
      </c>
      <c r="B29" s="1" t="str">
        <f t="shared" si="0"/>
        <v>CPI for Education</v>
      </c>
    </row>
    <row r="30" spans="1:2" x14ac:dyDescent="0.3">
      <c r="A30" t="str">
        <v>Personal care and effects</v>
      </c>
      <c r="B30" s="1" t="str">
        <f t="shared" si="0"/>
        <v>CPI for Personal care and effects</v>
      </c>
    </row>
    <row r="31" spans="1:2" x14ac:dyDescent="0.3">
      <c r="A31" t="str">
        <v>Miscellaneous</v>
      </c>
      <c r="B31" s="1" t="str">
        <f t="shared" si="0"/>
        <v>CPI for Miscellaneous</v>
      </c>
    </row>
    <row r="32" spans="1:2" x14ac:dyDescent="0.3">
      <c r="A32" t="str">
        <v>General index</v>
      </c>
      <c r="B32" s="1" t="str">
        <f t="shared" si="0"/>
        <v>CPI for General index</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B8F1-0543-4925-8A22-51F5E18019F1}">
  <dimension ref="A5:N24"/>
  <sheetViews>
    <sheetView workbookViewId="0">
      <selection activeCell="B19" sqref="B19"/>
    </sheetView>
  </sheetViews>
  <sheetFormatPr defaultRowHeight="14.4" x14ac:dyDescent="0.3"/>
  <sheetData>
    <row r="5" spans="1:14" x14ac:dyDescent="0.3">
      <c r="N5" t="s">
        <v>58</v>
      </c>
    </row>
    <row r="7" spans="1:14" x14ac:dyDescent="0.3">
      <c r="N7" t="s">
        <v>59</v>
      </c>
    </row>
    <row r="8" spans="1:14" x14ac:dyDescent="0.3">
      <c r="N8" t="s">
        <v>60</v>
      </c>
    </row>
    <row r="9" spans="1:14" ht="21" x14ac:dyDescent="0.4">
      <c r="B9" s="2" t="s">
        <v>61</v>
      </c>
      <c r="N9" t="s">
        <v>62</v>
      </c>
    </row>
    <row r="10" spans="1:14" x14ac:dyDescent="0.3">
      <c r="A10">
        <v>1</v>
      </c>
      <c r="B10" t="s">
        <v>63</v>
      </c>
    </row>
    <row r="11" spans="1:14" x14ac:dyDescent="0.3">
      <c r="A11">
        <v>2</v>
      </c>
      <c r="B11" t="s">
        <v>64</v>
      </c>
      <c r="N11" t="s">
        <v>65</v>
      </c>
    </row>
    <row r="12" spans="1:14" x14ac:dyDescent="0.3">
      <c r="A12">
        <v>3</v>
      </c>
      <c r="B12" t="s">
        <v>66</v>
      </c>
      <c r="N12" t="s">
        <v>67</v>
      </c>
    </row>
    <row r="13" spans="1:14" x14ac:dyDescent="0.3">
      <c r="B13" t="s">
        <v>68</v>
      </c>
      <c r="N13" t="s">
        <v>69</v>
      </c>
    </row>
    <row r="14" spans="1:14" x14ac:dyDescent="0.3">
      <c r="A14">
        <v>4</v>
      </c>
      <c r="B14" t="s">
        <v>70</v>
      </c>
    </row>
    <row r="15" spans="1:14" x14ac:dyDescent="0.3">
      <c r="A15">
        <v>5</v>
      </c>
      <c r="B15" t="s">
        <v>71</v>
      </c>
      <c r="N15" t="s">
        <v>72</v>
      </c>
    </row>
    <row r="16" spans="1:14" x14ac:dyDescent="0.3">
      <c r="N16" t="s">
        <v>73</v>
      </c>
    </row>
    <row r="17" spans="2:14" x14ac:dyDescent="0.3">
      <c r="N17" t="s">
        <v>74</v>
      </c>
    </row>
    <row r="18" spans="2:14" x14ac:dyDescent="0.3">
      <c r="B18" s="5"/>
    </row>
    <row r="19" spans="2:14" x14ac:dyDescent="0.3">
      <c r="N19" t="s">
        <v>75</v>
      </c>
    </row>
    <row r="20" spans="2:14" x14ac:dyDescent="0.3">
      <c r="N20" t="s">
        <v>76</v>
      </c>
    </row>
    <row r="21" spans="2:14" x14ac:dyDescent="0.3">
      <c r="N21" t="s">
        <v>77</v>
      </c>
    </row>
    <row r="23" spans="2:14" x14ac:dyDescent="0.3">
      <c r="N23" t="s">
        <v>78</v>
      </c>
    </row>
    <row r="24" spans="2:14" x14ac:dyDescent="0.3">
      <c r="N24"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D7B5-637D-4FB0-9301-D1F7F3E77BBE}">
  <sheetPr filterMode="1"/>
  <dimension ref="A1:AF392"/>
  <sheetViews>
    <sheetView topLeftCell="B1" workbookViewId="0">
      <selection activeCell="AE1" sqref="AE1:AE1048576"/>
    </sheetView>
  </sheetViews>
  <sheetFormatPr defaultRowHeight="14.4" x14ac:dyDescent="0.3"/>
  <cols>
    <col min="1" max="1" width="23.44140625" customWidth="1"/>
    <col min="3" max="16" width="0" hidden="1" customWidth="1"/>
    <col min="18" max="20" width="0" hidden="1" customWidth="1"/>
    <col min="21" max="21" width="25.88671875" bestFit="1" customWidth="1"/>
    <col min="22" max="22" width="15.8867187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80</v>
      </c>
      <c r="AF1" t="s">
        <v>81</v>
      </c>
    </row>
    <row r="2" spans="1:32"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2" hidden="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2" hidden="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2" hidden="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2" hidden="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2" hidden="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2" hidden="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2" hidden="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2" hidden="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2" hidden="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2" hidden="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2" hidden="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2" hidden="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2" hidden="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2" hidden="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hidden="1"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hidden="1"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hidden="1"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hidden="1"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hidden="1"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hidden="1"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hidden="1"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hidden="1"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hidden="1"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hidden="1"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hidden="1"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hidden="1"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hidden="1"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hidden="1"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hidden="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hidden="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hidden="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hidden="1"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hidden="1"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hidden="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hidden="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hidden="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hidden="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hidden="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hidden="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hidden="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2"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2" hidden="1"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2"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2" hidden="1"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2"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f>D373+E373+F373+G373+H373+I373+J373+K373+L373+M373+N373+O373</f>
        <v>2127.8000000000002</v>
      </c>
      <c r="AF373">
        <f>R373+S373</f>
        <v>367</v>
      </c>
    </row>
    <row r="378" spans="1:32" x14ac:dyDescent="0.3">
      <c r="A378" t="s">
        <v>82</v>
      </c>
      <c r="B378" t="s">
        <v>83</v>
      </c>
      <c r="U378" s="6" t="s">
        <v>87</v>
      </c>
      <c r="V378" t="s">
        <v>89</v>
      </c>
    </row>
    <row r="379" spans="1:32" x14ac:dyDescent="0.3">
      <c r="A379" t="s">
        <v>84</v>
      </c>
      <c r="B379">
        <v>201</v>
      </c>
      <c r="U379" s="7" t="s">
        <v>81</v>
      </c>
      <c r="V379" s="8">
        <v>8.5186388747040528E-2</v>
      </c>
    </row>
    <row r="380" spans="1:32" x14ac:dyDescent="0.3">
      <c r="A380" t="s">
        <v>20</v>
      </c>
      <c r="B380">
        <v>15.6</v>
      </c>
      <c r="U380" s="7" t="s">
        <v>26</v>
      </c>
      <c r="V380" s="8">
        <v>4.11076551692122E-2</v>
      </c>
    </row>
    <row r="381" spans="1:32" x14ac:dyDescent="0.3">
      <c r="A381" t="s">
        <v>85</v>
      </c>
      <c r="B381">
        <v>182.8</v>
      </c>
      <c r="U381" s="7" t="s">
        <v>80</v>
      </c>
      <c r="V381" s="8">
        <v>0.49389536233229664</v>
      </c>
    </row>
    <row r="382" spans="1:32" x14ac:dyDescent="0.3">
      <c r="A382" t="s">
        <v>86</v>
      </c>
      <c r="B382" cm="1">
        <f t="array" ref="B382:B391">TRANSPOSE(W373:AF373)</f>
        <v>175.2</v>
      </c>
      <c r="U382" s="7" t="s">
        <v>85</v>
      </c>
      <c r="V382" s="8">
        <v>4.2430713523049071E-2</v>
      </c>
    </row>
    <row r="383" spans="1:32" x14ac:dyDescent="0.3">
      <c r="A383" t="str" cm="1">
        <f t="array" ref="A383:A391">TRANSPOSE(X1:AF1)</f>
        <v>Health</v>
      </c>
      <c r="B383">
        <v>185.7</v>
      </c>
      <c r="U383" s="7" t="s">
        <v>29</v>
      </c>
      <c r="V383" s="8">
        <v>4.1571886170558472E-2</v>
      </c>
    </row>
    <row r="384" spans="1:32" x14ac:dyDescent="0.3">
      <c r="A384" t="str">
        <v>Transport and communication</v>
      </c>
      <c r="B384">
        <v>164.8</v>
      </c>
      <c r="U384" s="7" t="s">
        <v>23</v>
      </c>
      <c r="V384" s="8">
        <v>4.3103848475001157E-2</v>
      </c>
    </row>
    <row r="385" spans="1:22" x14ac:dyDescent="0.3">
      <c r="A385" t="str">
        <v>Recreation and amusement</v>
      </c>
      <c r="B385">
        <v>171.2</v>
      </c>
      <c r="U385" s="7" t="s">
        <v>86</v>
      </c>
      <c r="V385" s="8">
        <v>4.066663571793324E-2</v>
      </c>
    </row>
    <row r="386" spans="1:22" x14ac:dyDescent="0.3">
      <c r="A386" t="str">
        <v>Education</v>
      </c>
      <c r="B386">
        <v>177.1</v>
      </c>
      <c r="U386" s="7" t="s">
        <v>20</v>
      </c>
      <c r="V386" s="8">
        <v>3.6210018105009055E-3</v>
      </c>
    </row>
    <row r="387" spans="1:22" x14ac:dyDescent="0.3">
      <c r="A387" t="str">
        <v>Personal care and effects</v>
      </c>
      <c r="B387">
        <v>185.2</v>
      </c>
      <c r="U387" s="7" t="s">
        <v>28</v>
      </c>
      <c r="V387" s="8">
        <v>4.0782693468269807E-2</v>
      </c>
    </row>
    <row r="388" spans="1:22" x14ac:dyDescent="0.3">
      <c r="A388" t="str">
        <v>Miscellaneous</v>
      </c>
      <c r="B388">
        <v>175.7</v>
      </c>
      <c r="U388" s="7" t="s">
        <v>84</v>
      </c>
      <c r="V388" s="8">
        <v>4.6655215635300125E-2</v>
      </c>
    </row>
    <row r="389" spans="1:22" x14ac:dyDescent="0.3">
      <c r="A389" t="str">
        <v>General index</v>
      </c>
      <c r="B389">
        <v>179.1</v>
      </c>
      <c r="U389" s="7" t="s">
        <v>27</v>
      </c>
      <c r="V389" s="8">
        <v>4.298779072466459E-2</v>
      </c>
    </row>
    <row r="390" spans="1:22" x14ac:dyDescent="0.3">
      <c r="A390" t="str">
        <v>Food Bucket</v>
      </c>
      <c r="B390">
        <v>2127.8000000000002</v>
      </c>
      <c r="U390" s="7" t="s">
        <v>25</v>
      </c>
      <c r="V390" s="8">
        <v>3.9738173715240702E-2</v>
      </c>
    </row>
    <row r="391" spans="1:22" x14ac:dyDescent="0.3">
      <c r="A391" t="str">
        <v>Clothing Bucket</v>
      </c>
      <c r="B391">
        <v>367</v>
      </c>
      <c r="U391" s="7" t="s">
        <v>24</v>
      </c>
      <c r="V391" s="8">
        <v>3.8252634510932644E-2</v>
      </c>
    </row>
    <row r="392" spans="1:22" x14ac:dyDescent="0.3">
      <c r="U392" s="7" t="s">
        <v>88</v>
      </c>
      <c r="V392" s="8">
        <v>1</v>
      </c>
    </row>
  </sheetData>
  <autoFilter ref="A1:AD373" xr:uid="{27FFD7B5-637D-4FB0-9301-D1F7F3E77BBE}">
    <filterColumn colId="0">
      <filters>
        <filter val="Rural+Urban"/>
      </filters>
    </filterColumn>
    <filterColumn colId="1">
      <filters>
        <filter val="2023"/>
      </filters>
    </filterColumn>
    <filterColumn colId="2">
      <filters>
        <filter val="May"/>
      </filters>
    </filterColumn>
  </autoFilter>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0F5F-6BBE-4CFA-A6EA-DD64701CD864}">
  <sheetPr filterMode="1"/>
  <dimension ref="A1:AF398"/>
  <sheetViews>
    <sheetView workbookViewId="0">
      <selection activeCell="B380" sqref="B380"/>
    </sheetView>
  </sheetViews>
  <sheetFormatPr defaultRowHeight="14.4" x14ac:dyDescent="0.3"/>
  <cols>
    <col min="1" max="1" width="12.5546875" bestFit="1" customWidth="1"/>
    <col min="2" max="2" width="10.44140625" bestFit="1" customWidth="1"/>
    <col min="4" max="29" width="0" hidden="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hidden="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hidden="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hidden="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hidden="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hidden="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hidden="1"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hidden="1"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hidden="1"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hidden="1"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hidden="1"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hidden="1"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hidden="1"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hidden="1"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hidden="1"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hidden="1"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hidden="1"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hidden="1"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hidden="1"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hidden="1"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hidden="1"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1"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1" hidden="1"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1"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1" hidden="1"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1" hidden="1"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row r="375" spans="1:31" x14ac:dyDescent="0.3">
      <c r="AD375">
        <v>2016</v>
      </c>
      <c r="AE375">
        <f>AVERAGE(AD112:AD145)</f>
        <v>129.27352941176468</v>
      </c>
    </row>
    <row r="376" spans="1:31" x14ac:dyDescent="0.3">
      <c r="A376" t="s">
        <v>1</v>
      </c>
      <c r="B376" t="s">
        <v>90</v>
      </c>
      <c r="C376" t="s">
        <v>91</v>
      </c>
    </row>
    <row r="377" spans="1:31" x14ac:dyDescent="0.3">
      <c r="A377">
        <v>2017</v>
      </c>
      <c r="B377" s="10">
        <f>AVERAGE(AD148:AD181)</f>
        <v>133.5794117647059</v>
      </c>
      <c r="C377" s="9">
        <f>(B377-AE375)/AE375*100</f>
        <v>3.330830660023234</v>
      </c>
    </row>
    <row r="378" spans="1:31" x14ac:dyDescent="0.3">
      <c r="A378">
        <v>2018</v>
      </c>
      <c r="B378" s="10">
        <f>AVERAGE(AD184:AD217)</f>
        <v>138.78529411764706</v>
      </c>
      <c r="C378" s="9">
        <f>(B378-B377)/B377*100</f>
        <v>3.8972191029790477</v>
      </c>
    </row>
    <row r="379" spans="1:31" x14ac:dyDescent="0.3">
      <c r="A379">
        <v>2019</v>
      </c>
      <c r="B379" s="10">
        <f>AVERAGE(AD220:AD250)</f>
        <v>144.42580645161286</v>
      </c>
      <c r="C379" s="9">
        <f t="shared" ref="C379:C383" si="0">(B379-B378)/B378*100</f>
        <v>4.0642002957347847</v>
      </c>
    </row>
    <row r="380" spans="1:31" x14ac:dyDescent="0.3">
      <c r="A380">
        <v>2020</v>
      </c>
      <c r="B380" s="10">
        <f>AVERAGE(AD253:AD286)</f>
        <v>153.56428571428569</v>
      </c>
      <c r="C380" s="9">
        <f t="shared" si="0"/>
        <v>6.3274559354698887</v>
      </c>
    </row>
    <row r="381" spans="1:31" x14ac:dyDescent="0.3">
      <c r="A381">
        <v>2021</v>
      </c>
      <c r="B381" s="10">
        <f>AVERAGE(AD289:AD322)</f>
        <v>161.66176470588235</v>
      </c>
      <c r="C381" s="9">
        <f t="shared" si="0"/>
        <v>5.2730222746338553</v>
      </c>
    </row>
    <row r="382" spans="1:31" x14ac:dyDescent="0.3">
      <c r="A382">
        <v>2022</v>
      </c>
      <c r="B382" s="10">
        <f>AVERAGE(AD325:AD358)</f>
        <v>172.45000000000005</v>
      </c>
      <c r="C382" s="9">
        <f t="shared" si="0"/>
        <v>6.6733375784590505</v>
      </c>
    </row>
    <row r="383" spans="1:31" x14ac:dyDescent="0.3">
      <c r="A383">
        <v>2023</v>
      </c>
      <c r="B383" s="10">
        <f>AVERAGE(AD361:AD373)</f>
        <v>177.76153846153844</v>
      </c>
      <c r="C383" s="9">
        <f t="shared" si="0"/>
        <v>3.0800454981376566</v>
      </c>
    </row>
    <row r="385" spans="1:32" x14ac:dyDescent="0.3">
      <c r="A385" s="6" t="s">
        <v>87</v>
      </c>
      <c r="B385" t="s">
        <v>92</v>
      </c>
    </row>
    <row r="386" spans="1:32" x14ac:dyDescent="0.3">
      <c r="A386" s="7">
        <v>2017</v>
      </c>
      <c r="B386" s="9">
        <v>3.330830660023234</v>
      </c>
    </row>
    <row r="387" spans="1:32" x14ac:dyDescent="0.3">
      <c r="A387" s="7">
        <v>2018</v>
      </c>
      <c r="B387" s="9">
        <v>3.8972191029790477</v>
      </c>
    </row>
    <row r="388" spans="1:32" x14ac:dyDescent="0.3">
      <c r="A388" s="7">
        <v>2019</v>
      </c>
      <c r="B388" s="9">
        <v>4.0642002957347847</v>
      </c>
    </row>
    <row r="389" spans="1:32" x14ac:dyDescent="0.3">
      <c r="A389" s="7">
        <v>2020</v>
      </c>
      <c r="B389" s="9">
        <v>6.3274559354698887</v>
      </c>
    </row>
    <row r="390" spans="1:32" x14ac:dyDescent="0.3">
      <c r="A390" s="7">
        <v>2021</v>
      </c>
      <c r="B390" s="9">
        <v>5.2730222746338553</v>
      </c>
    </row>
    <row r="391" spans="1:32" x14ac:dyDescent="0.3">
      <c r="A391" s="7">
        <v>2022</v>
      </c>
      <c r="B391" s="9">
        <v>6.6733375784590505</v>
      </c>
    </row>
    <row r="392" spans="1:32" x14ac:dyDescent="0.3">
      <c r="A392" s="7">
        <v>2023</v>
      </c>
      <c r="B392" s="9">
        <v>3.0800454981376566</v>
      </c>
      <c r="AF392" t="s">
        <v>93</v>
      </c>
    </row>
    <row r="393" spans="1:32" x14ac:dyDescent="0.3">
      <c r="A393" s="7" t="s">
        <v>88</v>
      </c>
      <c r="B393" s="9">
        <v>32.646111345437518</v>
      </c>
    </row>
    <row r="394" spans="1:32" x14ac:dyDescent="0.3">
      <c r="AF394" t="s">
        <v>94</v>
      </c>
    </row>
    <row r="396" spans="1:32" x14ac:dyDescent="0.3">
      <c r="AF396" t="s">
        <v>95</v>
      </c>
    </row>
    <row r="398" spans="1:32" x14ac:dyDescent="0.3">
      <c r="AF398" t="s">
        <v>96</v>
      </c>
    </row>
  </sheetData>
  <autoFilter ref="A1:AD373" xr:uid="{1B410F5F-6BBE-4CFA-A6EA-DD64701CD864}">
    <filterColumn colId="0">
      <filters>
        <filter val="Rural+Urban"/>
      </filters>
    </filterColumn>
    <filterColumn colId="1">
      <filters>
        <filter val="2020"/>
      </filters>
    </filterColumn>
  </autoFilter>
  <pageMargins left="0.7" right="0.7" top="0.75" bottom="0.75" header="0.3" footer="0.3"/>
  <ignoredErrors>
    <ignoredError sqref="AE375 B377:B383"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C8676-7E64-4DC3-99EA-592AA0E248F6}">
  <sheetPr filterMode="1"/>
  <dimension ref="A1:AF392"/>
  <sheetViews>
    <sheetView topLeftCell="A355" workbookViewId="0">
      <selection activeCell="AO388" sqref="AO388"/>
    </sheetView>
  </sheetViews>
  <sheetFormatPr defaultRowHeight="14.4" x14ac:dyDescent="0.3"/>
  <cols>
    <col min="4" max="15" width="0" hidden="1" customWidth="1"/>
    <col min="16" max="17" width="12.5546875" bestFit="1" customWidth="1"/>
    <col min="18" max="18" width="9.88671875" bestFit="1" customWidth="1"/>
    <col min="19" max="32" width="0" hidden="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Q1" t="s">
        <v>98</v>
      </c>
      <c r="R1" t="s">
        <v>15</v>
      </c>
      <c r="S1" t="s">
        <v>16</v>
      </c>
      <c r="T1" t="s">
        <v>17</v>
      </c>
      <c r="U1" t="s">
        <v>18</v>
      </c>
      <c r="V1" t="s">
        <v>19</v>
      </c>
      <c r="W1" t="s">
        <v>20</v>
      </c>
      <c r="X1" t="s">
        <v>21</v>
      </c>
      <c r="Y1" t="s">
        <v>22</v>
      </c>
      <c r="Z1" t="s">
        <v>23</v>
      </c>
      <c r="AA1" t="s">
        <v>24</v>
      </c>
      <c r="AB1" t="s">
        <v>25</v>
      </c>
      <c r="AC1" t="s">
        <v>26</v>
      </c>
      <c r="AD1" t="s">
        <v>27</v>
      </c>
      <c r="AE1" t="s">
        <v>28</v>
      </c>
      <c r="AF1" t="s">
        <v>29</v>
      </c>
    </row>
    <row r="2" spans="1:32" hidden="1" x14ac:dyDescent="0.3">
      <c r="A2" t="s">
        <v>30</v>
      </c>
      <c r="B2">
        <v>2013</v>
      </c>
      <c r="C2" t="s">
        <v>31</v>
      </c>
      <c r="D2">
        <v>107.5</v>
      </c>
      <c r="E2">
        <v>106.3</v>
      </c>
      <c r="F2">
        <v>108.1</v>
      </c>
      <c r="G2">
        <v>104.9</v>
      </c>
      <c r="H2">
        <v>106.1</v>
      </c>
      <c r="I2">
        <v>103.9</v>
      </c>
      <c r="J2">
        <v>101.9</v>
      </c>
      <c r="K2">
        <v>106.1</v>
      </c>
      <c r="L2">
        <v>106.8</v>
      </c>
      <c r="M2">
        <v>103.1</v>
      </c>
      <c r="N2">
        <v>104.8</v>
      </c>
      <c r="O2">
        <v>106.7</v>
      </c>
      <c r="R2">
        <v>105.5</v>
      </c>
      <c r="S2">
        <v>105.1</v>
      </c>
      <c r="T2">
        <v>106.5</v>
      </c>
      <c r="U2">
        <v>105.8</v>
      </c>
      <c r="V2">
        <v>106.4</v>
      </c>
      <c r="W2" t="s">
        <v>32</v>
      </c>
      <c r="X2">
        <v>105.5</v>
      </c>
      <c r="Y2">
        <v>104.8</v>
      </c>
      <c r="Z2">
        <v>104</v>
      </c>
      <c r="AA2">
        <v>103.3</v>
      </c>
      <c r="AB2">
        <v>103.4</v>
      </c>
      <c r="AC2">
        <v>103.8</v>
      </c>
      <c r="AD2">
        <v>104.7</v>
      </c>
      <c r="AE2">
        <v>104</v>
      </c>
      <c r="AF2">
        <v>105.1</v>
      </c>
    </row>
    <row r="3" spans="1:32" hidden="1" x14ac:dyDescent="0.3">
      <c r="A3" t="s">
        <v>33</v>
      </c>
      <c r="B3">
        <v>2013</v>
      </c>
      <c r="C3" t="s">
        <v>31</v>
      </c>
      <c r="D3">
        <v>110.5</v>
      </c>
      <c r="E3">
        <v>109.1</v>
      </c>
      <c r="F3">
        <v>113</v>
      </c>
      <c r="G3">
        <v>103.6</v>
      </c>
      <c r="H3">
        <v>103.4</v>
      </c>
      <c r="I3">
        <v>102.3</v>
      </c>
      <c r="J3">
        <v>102.9</v>
      </c>
      <c r="K3">
        <v>105.8</v>
      </c>
      <c r="L3">
        <v>105.1</v>
      </c>
      <c r="M3">
        <v>101.8</v>
      </c>
      <c r="N3">
        <v>105.1</v>
      </c>
      <c r="O3">
        <v>107.9</v>
      </c>
      <c r="R3">
        <v>105.9</v>
      </c>
      <c r="S3">
        <v>105.2</v>
      </c>
      <c r="T3">
        <v>105.9</v>
      </c>
      <c r="U3">
        <v>105</v>
      </c>
      <c r="V3">
        <v>105.8</v>
      </c>
      <c r="W3">
        <v>100.3</v>
      </c>
      <c r="X3">
        <v>105.4</v>
      </c>
      <c r="Y3">
        <v>104.8</v>
      </c>
      <c r="Z3">
        <v>104.1</v>
      </c>
      <c r="AA3">
        <v>103.2</v>
      </c>
      <c r="AB3">
        <v>102.9</v>
      </c>
      <c r="AC3">
        <v>103.5</v>
      </c>
      <c r="AD3">
        <v>104.3</v>
      </c>
      <c r="AE3">
        <v>103.7</v>
      </c>
      <c r="AF3">
        <v>104</v>
      </c>
    </row>
    <row r="4" spans="1:32" hidden="1" x14ac:dyDescent="0.3">
      <c r="A4" t="s">
        <v>34</v>
      </c>
      <c r="B4">
        <v>2013</v>
      </c>
      <c r="C4" t="s">
        <v>31</v>
      </c>
      <c r="D4">
        <v>108.4</v>
      </c>
      <c r="E4">
        <v>107.3</v>
      </c>
      <c r="F4">
        <v>110</v>
      </c>
      <c r="G4">
        <v>104.4</v>
      </c>
      <c r="H4">
        <v>105.1</v>
      </c>
      <c r="I4">
        <v>103.2</v>
      </c>
      <c r="J4">
        <v>102.2</v>
      </c>
      <c r="K4">
        <v>106</v>
      </c>
      <c r="L4">
        <v>106.2</v>
      </c>
      <c r="M4">
        <v>102.7</v>
      </c>
      <c r="N4">
        <v>104.9</v>
      </c>
      <c r="O4">
        <v>107.3</v>
      </c>
      <c r="R4">
        <v>105.6</v>
      </c>
      <c r="S4">
        <v>105.1</v>
      </c>
      <c r="T4">
        <v>106.3</v>
      </c>
      <c r="U4">
        <v>105.5</v>
      </c>
      <c r="V4">
        <v>106.2</v>
      </c>
      <c r="W4">
        <v>100.3</v>
      </c>
      <c r="X4">
        <v>105.5</v>
      </c>
      <c r="Y4">
        <v>104.8</v>
      </c>
      <c r="Z4">
        <v>104</v>
      </c>
      <c r="AA4">
        <v>103.2</v>
      </c>
      <c r="AB4">
        <v>103.1</v>
      </c>
      <c r="AC4">
        <v>103.6</v>
      </c>
      <c r="AD4">
        <v>104.5</v>
      </c>
      <c r="AE4">
        <v>103.9</v>
      </c>
      <c r="AF4">
        <v>104.6</v>
      </c>
    </row>
    <row r="5" spans="1:32" hidden="1" x14ac:dyDescent="0.3">
      <c r="A5" t="s">
        <v>30</v>
      </c>
      <c r="B5">
        <v>2013</v>
      </c>
      <c r="C5" t="s">
        <v>35</v>
      </c>
      <c r="D5">
        <v>109.2</v>
      </c>
      <c r="E5">
        <v>108.7</v>
      </c>
      <c r="F5">
        <v>110.2</v>
      </c>
      <c r="G5">
        <v>105.4</v>
      </c>
      <c r="H5">
        <v>106.7</v>
      </c>
      <c r="I5">
        <v>104</v>
      </c>
      <c r="J5">
        <v>102.4</v>
      </c>
      <c r="K5">
        <v>105.9</v>
      </c>
      <c r="L5">
        <v>105.7</v>
      </c>
      <c r="M5">
        <v>103.1</v>
      </c>
      <c r="N5">
        <v>105.1</v>
      </c>
      <c r="O5">
        <v>107.7</v>
      </c>
      <c r="R5">
        <v>106.3</v>
      </c>
      <c r="S5">
        <v>105.6</v>
      </c>
      <c r="T5">
        <v>107.1</v>
      </c>
      <c r="U5">
        <v>106.3</v>
      </c>
      <c r="V5">
        <v>107</v>
      </c>
      <c r="W5" t="s">
        <v>32</v>
      </c>
      <c r="X5">
        <v>106.2</v>
      </c>
      <c r="Y5">
        <v>105.2</v>
      </c>
      <c r="Z5">
        <v>104.4</v>
      </c>
      <c r="AA5">
        <v>103.9</v>
      </c>
      <c r="AB5">
        <v>104</v>
      </c>
      <c r="AC5">
        <v>104.1</v>
      </c>
      <c r="AD5">
        <v>104.6</v>
      </c>
      <c r="AE5">
        <v>104.4</v>
      </c>
      <c r="AF5">
        <v>105.8</v>
      </c>
    </row>
    <row r="6" spans="1:32" hidden="1" x14ac:dyDescent="0.3">
      <c r="A6" t="s">
        <v>33</v>
      </c>
      <c r="B6">
        <v>2013</v>
      </c>
      <c r="C6" t="s">
        <v>35</v>
      </c>
      <c r="D6">
        <v>112.9</v>
      </c>
      <c r="E6">
        <v>112.9</v>
      </c>
      <c r="F6">
        <v>116.9</v>
      </c>
      <c r="G6">
        <v>104</v>
      </c>
      <c r="H6">
        <v>103.5</v>
      </c>
      <c r="I6">
        <v>103.1</v>
      </c>
      <c r="J6">
        <v>104.9</v>
      </c>
      <c r="K6">
        <v>104.1</v>
      </c>
      <c r="L6">
        <v>103.8</v>
      </c>
      <c r="M6">
        <v>102.3</v>
      </c>
      <c r="N6">
        <v>106</v>
      </c>
      <c r="O6">
        <v>109</v>
      </c>
      <c r="R6">
        <v>107.2</v>
      </c>
      <c r="S6">
        <v>106</v>
      </c>
      <c r="T6">
        <v>106.6</v>
      </c>
      <c r="U6">
        <v>105.5</v>
      </c>
      <c r="V6">
        <v>106.4</v>
      </c>
      <c r="W6">
        <v>100.4</v>
      </c>
      <c r="X6">
        <v>105.7</v>
      </c>
      <c r="Y6">
        <v>105.2</v>
      </c>
      <c r="Z6">
        <v>104.7</v>
      </c>
      <c r="AA6">
        <v>104.4</v>
      </c>
      <c r="AB6">
        <v>103.3</v>
      </c>
      <c r="AC6">
        <v>103.7</v>
      </c>
      <c r="AD6">
        <v>104.3</v>
      </c>
      <c r="AE6">
        <v>104.3</v>
      </c>
      <c r="AF6">
        <v>104.7</v>
      </c>
    </row>
    <row r="7" spans="1:32" hidden="1" x14ac:dyDescent="0.3">
      <c r="A7" t="s">
        <v>34</v>
      </c>
      <c r="B7">
        <v>2013</v>
      </c>
      <c r="C7" t="s">
        <v>35</v>
      </c>
      <c r="D7">
        <v>110.4</v>
      </c>
      <c r="E7">
        <v>110.2</v>
      </c>
      <c r="F7">
        <v>112.8</v>
      </c>
      <c r="G7">
        <v>104.9</v>
      </c>
      <c r="H7">
        <v>105.5</v>
      </c>
      <c r="I7">
        <v>103.6</v>
      </c>
      <c r="J7">
        <v>103.2</v>
      </c>
      <c r="K7">
        <v>105.3</v>
      </c>
      <c r="L7">
        <v>105.1</v>
      </c>
      <c r="M7">
        <v>102.8</v>
      </c>
      <c r="N7">
        <v>105.5</v>
      </c>
      <c r="O7">
        <v>108.3</v>
      </c>
      <c r="R7">
        <v>106.6</v>
      </c>
      <c r="S7">
        <v>105.7</v>
      </c>
      <c r="T7">
        <v>106.9</v>
      </c>
      <c r="U7">
        <v>106</v>
      </c>
      <c r="V7">
        <v>106.8</v>
      </c>
      <c r="W7">
        <v>100.4</v>
      </c>
      <c r="X7">
        <v>106</v>
      </c>
      <c r="Y7">
        <v>105.2</v>
      </c>
      <c r="Z7">
        <v>104.5</v>
      </c>
      <c r="AA7">
        <v>104.2</v>
      </c>
      <c r="AB7">
        <v>103.6</v>
      </c>
      <c r="AC7">
        <v>103.9</v>
      </c>
      <c r="AD7">
        <v>104.5</v>
      </c>
      <c r="AE7">
        <v>104.4</v>
      </c>
      <c r="AF7">
        <v>105.3</v>
      </c>
    </row>
    <row r="8" spans="1:32" hidden="1" x14ac:dyDescent="0.3">
      <c r="A8" t="s">
        <v>30</v>
      </c>
      <c r="B8">
        <v>2013</v>
      </c>
      <c r="C8" t="s">
        <v>36</v>
      </c>
      <c r="D8">
        <v>110.2</v>
      </c>
      <c r="E8">
        <v>108.8</v>
      </c>
      <c r="F8">
        <v>109.9</v>
      </c>
      <c r="G8">
        <v>105.6</v>
      </c>
      <c r="H8">
        <v>106.2</v>
      </c>
      <c r="I8">
        <v>105.7</v>
      </c>
      <c r="J8">
        <v>101.4</v>
      </c>
      <c r="K8">
        <v>105.7</v>
      </c>
      <c r="L8">
        <v>105</v>
      </c>
      <c r="M8">
        <v>103.3</v>
      </c>
      <c r="N8">
        <v>105.6</v>
      </c>
      <c r="O8">
        <v>108.2</v>
      </c>
      <c r="R8">
        <v>106.6</v>
      </c>
      <c r="S8">
        <v>106.5</v>
      </c>
      <c r="T8">
        <v>107.6</v>
      </c>
      <c r="U8">
        <v>106.8</v>
      </c>
      <c r="V8">
        <v>107.5</v>
      </c>
      <c r="W8" t="s">
        <v>32</v>
      </c>
      <c r="X8">
        <v>106.1</v>
      </c>
      <c r="Y8">
        <v>105.6</v>
      </c>
      <c r="Z8">
        <v>104.7</v>
      </c>
      <c r="AA8">
        <v>104.6</v>
      </c>
      <c r="AB8">
        <v>104</v>
      </c>
      <c r="AC8">
        <v>104.3</v>
      </c>
      <c r="AD8">
        <v>104.3</v>
      </c>
      <c r="AE8">
        <v>104.6</v>
      </c>
      <c r="AF8">
        <v>106</v>
      </c>
    </row>
    <row r="9" spans="1:32" hidden="1" x14ac:dyDescent="0.3">
      <c r="A9" t="s">
        <v>33</v>
      </c>
      <c r="B9">
        <v>2013</v>
      </c>
      <c r="C9" t="s">
        <v>36</v>
      </c>
      <c r="D9">
        <v>113.9</v>
      </c>
      <c r="E9">
        <v>111.4</v>
      </c>
      <c r="F9">
        <v>113.2</v>
      </c>
      <c r="G9">
        <v>104.3</v>
      </c>
      <c r="H9">
        <v>102.7</v>
      </c>
      <c r="I9">
        <v>104.9</v>
      </c>
      <c r="J9">
        <v>103.8</v>
      </c>
      <c r="K9">
        <v>103.5</v>
      </c>
      <c r="L9">
        <v>102.6</v>
      </c>
      <c r="M9">
        <v>102.4</v>
      </c>
      <c r="N9">
        <v>107</v>
      </c>
      <c r="O9">
        <v>109.8</v>
      </c>
      <c r="R9">
        <v>107.3</v>
      </c>
      <c r="S9">
        <v>106.8</v>
      </c>
      <c r="T9">
        <v>107.2</v>
      </c>
      <c r="U9">
        <v>106</v>
      </c>
      <c r="V9">
        <v>107</v>
      </c>
      <c r="W9">
        <v>100.4</v>
      </c>
      <c r="X9">
        <v>106</v>
      </c>
      <c r="Y9">
        <v>105.7</v>
      </c>
      <c r="Z9">
        <v>105.2</v>
      </c>
      <c r="AA9">
        <v>105.5</v>
      </c>
      <c r="AB9">
        <v>103.5</v>
      </c>
      <c r="AC9">
        <v>103.8</v>
      </c>
      <c r="AD9">
        <v>104.2</v>
      </c>
      <c r="AE9">
        <v>104.9</v>
      </c>
      <c r="AF9">
        <v>105</v>
      </c>
    </row>
    <row r="10" spans="1:32" hidden="1" x14ac:dyDescent="0.3">
      <c r="A10" t="s">
        <v>34</v>
      </c>
      <c r="B10">
        <v>2013</v>
      </c>
      <c r="C10" t="s">
        <v>36</v>
      </c>
      <c r="D10">
        <v>111.4</v>
      </c>
      <c r="E10">
        <v>109.7</v>
      </c>
      <c r="F10">
        <v>111.2</v>
      </c>
      <c r="G10">
        <v>105.1</v>
      </c>
      <c r="H10">
        <v>104.9</v>
      </c>
      <c r="I10">
        <v>105.3</v>
      </c>
      <c r="J10">
        <v>102.2</v>
      </c>
      <c r="K10">
        <v>105</v>
      </c>
      <c r="L10">
        <v>104.2</v>
      </c>
      <c r="M10">
        <v>103</v>
      </c>
      <c r="N10">
        <v>106.2</v>
      </c>
      <c r="O10">
        <v>108.9</v>
      </c>
      <c r="R10">
        <v>106.9</v>
      </c>
      <c r="S10">
        <v>106.6</v>
      </c>
      <c r="T10">
        <v>107.4</v>
      </c>
      <c r="U10">
        <v>106.5</v>
      </c>
      <c r="V10">
        <v>107.3</v>
      </c>
      <c r="W10">
        <v>100.4</v>
      </c>
      <c r="X10">
        <v>106.1</v>
      </c>
      <c r="Y10">
        <v>105.6</v>
      </c>
      <c r="Z10">
        <v>104.9</v>
      </c>
      <c r="AA10">
        <v>105.1</v>
      </c>
      <c r="AB10">
        <v>103.7</v>
      </c>
      <c r="AC10">
        <v>104</v>
      </c>
      <c r="AD10">
        <v>104.3</v>
      </c>
      <c r="AE10">
        <v>104.7</v>
      </c>
      <c r="AF10">
        <v>105.5</v>
      </c>
    </row>
    <row r="11" spans="1:32" hidden="1" x14ac:dyDescent="0.3">
      <c r="A11" t="s">
        <v>30</v>
      </c>
      <c r="B11">
        <v>2013</v>
      </c>
      <c r="C11" t="s">
        <v>37</v>
      </c>
      <c r="D11">
        <v>110.2</v>
      </c>
      <c r="E11">
        <v>109.5</v>
      </c>
      <c r="F11">
        <v>106.9</v>
      </c>
      <c r="G11">
        <v>106.3</v>
      </c>
      <c r="H11">
        <v>105.7</v>
      </c>
      <c r="I11">
        <v>108.3</v>
      </c>
      <c r="J11">
        <v>103.4</v>
      </c>
      <c r="K11">
        <v>105.7</v>
      </c>
      <c r="L11">
        <v>104.2</v>
      </c>
      <c r="M11">
        <v>103.2</v>
      </c>
      <c r="N11">
        <v>106.5</v>
      </c>
      <c r="O11">
        <v>108.8</v>
      </c>
      <c r="R11">
        <v>107.1</v>
      </c>
      <c r="S11">
        <v>107.1</v>
      </c>
      <c r="T11">
        <v>108.1</v>
      </c>
      <c r="U11">
        <v>107.4</v>
      </c>
      <c r="V11">
        <v>108</v>
      </c>
      <c r="W11" t="s">
        <v>32</v>
      </c>
      <c r="X11">
        <v>106.5</v>
      </c>
      <c r="Y11">
        <v>106.1</v>
      </c>
      <c r="Z11">
        <v>105.1</v>
      </c>
      <c r="AA11">
        <v>104.4</v>
      </c>
      <c r="AB11">
        <v>104.5</v>
      </c>
      <c r="AC11">
        <v>104.8</v>
      </c>
      <c r="AD11">
        <v>102.7</v>
      </c>
      <c r="AE11">
        <v>104.6</v>
      </c>
      <c r="AF11">
        <v>106.4</v>
      </c>
    </row>
    <row r="12" spans="1:32" hidden="1" x14ac:dyDescent="0.3">
      <c r="A12" t="s">
        <v>33</v>
      </c>
      <c r="B12">
        <v>2013</v>
      </c>
      <c r="C12" t="s">
        <v>37</v>
      </c>
      <c r="D12">
        <v>114.6</v>
      </c>
      <c r="E12">
        <v>113.4</v>
      </c>
      <c r="F12">
        <v>106</v>
      </c>
      <c r="G12">
        <v>104.7</v>
      </c>
      <c r="H12">
        <v>102.1</v>
      </c>
      <c r="I12">
        <v>109.5</v>
      </c>
      <c r="J12">
        <v>109.7</v>
      </c>
      <c r="K12">
        <v>104.6</v>
      </c>
      <c r="L12">
        <v>102</v>
      </c>
      <c r="M12">
        <v>103.5</v>
      </c>
      <c r="N12">
        <v>108.2</v>
      </c>
      <c r="O12">
        <v>110.6</v>
      </c>
      <c r="R12">
        <v>108.8</v>
      </c>
      <c r="S12">
        <v>108.5</v>
      </c>
      <c r="T12">
        <v>107.9</v>
      </c>
      <c r="U12">
        <v>106.4</v>
      </c>
      <c r="V12">
        <v>107.7</v>
      </c>
      <c r="W12">
        <v>100.5</v>
      </c>
      <c r="X12">
        <v>106.4</v>
      </c>
      <c r="Y12">
        <v>106.5</v>
      </c>
      <c r="Z12">
        <v>105.7</v>
      </c>
      <c r="AA12">
        <v>105</v>
      </c>
      <c r="AB12">
        <v>104</v>
      </c>
      <c r="AC12">
        <v>105.2</v>
      </c>
      <c r="AD12">
        <v>103.2</v>
      </c>
      <c r="AE12">
        <v>105.1</v>
      </c>
      <c r="AF12">
        <v>105.7</v>
      </c>
    </row>
    <row r="13" spans="1:32" hidden="1" x14ac:dyDescent="0.3">
      <c r="A13" t="s">
        <v>34</v>
      </c>
      <c r="B13">
        <v>2013</v>
      </c>
      <c r="C13" t="s">
        <v>37</v>
      </c>
      <c r="D13">
        <v>111.6</v>
      </c>
      <c r="E13">
        <v>110.9</v>
      </c>
      <c r="F13">
        <v>106.6</v>
      </c>
      <c r="G13">
        <v>105.7</v>
      </c>
      <c r="H13">
        <v>104.4</v>
      </c>
      <c r="I13">
        <v>108.9</v>
      </c>
      <c r="J13">
        <v>105.5</v>
      </c>
      <c r="K13">
        <v>105.3</v>
      </c>
      <c r="L13">
        <v>103.5</v>
      </c>
      <c r="M13">
        <v>103.3</v>
      </c>
      <c r="N13">
        <v>107.2</v>
      </c>
      <c r="O13">
        <v>109.6</v>
      </c>
      <c r="R13">
        <v>107.7</v>
      </c>
      <c r="S13">
        <v>107.5</v>
      </c>
      <c r="T13">
        <v>108</v>
      </c>
      <c r="U13">
        <v>107</v>
      </c>
      <c r="V13">
        <v>107.9</v>
      </c>
      <c r="W13">
        <v>100.5</v>
      </c>
      <c r="X13">
        <v>106.5</v>
      </c>
      <c r="Y13">
        <v>106.3</v>
      </c>
      <c r="Z13">
        <v>105.3</v>
      </c>
      <c r="AA13">
        <v>104.7</v>
      </c>
      <c r="AB13">
        <v>104.2</v>
      </c>
      <c r="AC13">
        <v>105</v>
      </c>
      <c r="AD13">
        <v>102.9</v>
      </c>
      <c r="AE13">
        <v>104.8</v>
      </c>
      <c r="AF13">
        <v>106.1</v>
      </c>
    </row>
    <row r="14" spans="1:32" hidden="1" x14ac:dyDescent="0.3">
      <c r="A14" t="s">
        <v>30</v>
      </c>
      <c r="B14">
        <v>2013</v>
      </c>
      <c r="C14" t="s">
        <v>38</v>
      </c>
      <c r="D14">
        <v>110.9</v>
      </c>
      <c r="E14">
        <v>109.8</v>
      </c>
      <c r="F14">
        <v>105.9</v>
      </c>
      <c r="G14">
        <v>107.5</v>
      </c>
      <c r="H14">
        <v>105.3</v>
      </c>
      <c r="I14">
        <v>108.1</v>
      </c>
      <c r="J14">
        <v>107.3</v>
      </c>
      <c r="K14">
        <v>106.1</v>
      </c>
      <c r="L14">
        <v>103.7</v>
      </c>
      <c r="M14">
        <v>104</v>
      </c>
      <c r="N14">
        <v>107.4</v>
      </c>
      <c r="O14">
        <v>109.9</v>
      </c>
      <c r="R14">
        <v>108.1</v>
      </c>
      <c r="S14">
        <v>108.1</v>
      </c>
      <c r="T14">
        <v>108.8</v>
      </c>
      <c r="U14">
        <v>107.9</v>
      </c>
      <c r="V14">
        <v>108.6</v>
      </c>
      <c r="W14" t="s">
        <v>32</v>
      </c>
      <c r="X14">
        <v>107.5</v>
      </c>
      <c r="Y14">
        <v>106.8</v>
      </c>
      <c r="Z14">
        <v>105.7</v>
      </c>
      <c r="AA14">
        <v>104.1</v>
      </c>
      <c r="AB14">
        <v>105</v>
      </c>
      <c r="AC14">
        <v>105.5</v>
      </c>
      <c r="AD14">
        <v>102.1</v>
      </c>
      <c r="AE14">
        <v>104.8</v>
      </c>
      <c r="AF14">
        <v>107.2</v>
      </c>
    </row>
    <row r="15" spans="1:32" hidden="1" x14ac:dyDescent="0.3">
      <c r="A15" t="s">
        <v>33</v>
      </c>
      <c r="B15">
        <v>2013</v>
      </c>
      <c r="C15" t="s">
        <v>38</v>
      </c>
      <c r="D15">
        <v>115.4</v>
      </c>
      <c r="E15">
        <v>114.2</v>
      </c>
      <c r="F15">
        <v>102.7</v>
      </c>
      <c r="G15">
        <v>105.5</v>
      </c>
      <c r="H15">
        <v>101.5</v>
      </c>
      <c r="I15">
        <v>110.6</v>
      </c>
      <c r="J15">
        <v>123.7</v>
      </c>
      <c r="K15">
        <v>105.2</v>
      </c>
      <c r="L15">
        <v>101.9</v>
      </c>
      <c r="M15">
        <v>105</v>
      </c>
      <c r="N15">
        <v>109.1</v>
      </c>
      <c r="O15">
        <v>111.3</v>
      </c>
      <c r="R15">
        <v>111.1</v>
      </c>
      <c r="S15">
        <v>109.8</v>
      </c>
      <c r="T15">
        <v>108.5</v>
      </c>
      <c r="U15">
        <v>106.7</v>
      </c>
      <c r="V15">
        <v>108.3</v>
      </c>
      <c r="W15">
        <v>100.5</v>
      </c>
      <c r="X15">
        <v>107.2</v>
      </c>
      <c r="Y15">
        <v>107.1</v>
      </c>
      <c r="Z15">
        <v>106.2</v>
      </c>
      <c r="AA15">
        <v>103.9</v>
      </c>
      <c r="AB15">
        <v>104.6</v>
      </c>
      <c r="AC15">
        <v>105.7</v>
      </c>
      <c r="AD15">
        <v>102.6</v>
      </c>
      <c r="AE15">
        <v>104.9</v>
      </c>
      <c r="AF15">
        <v>106.6</v>
      </c>
    </row>
    <row r="16" spans="1:32" hidden="1" x14ac:dyDescent="0.3">
      <c r="A16" t="s">
        <v>34</v>
      </c>
      <c r="B16">
        <v>2013</v>
      </c>
      <c r="C16" t="s">
        <v>38</v>
      </c>
      <c r="D16">
        <v>112.3</v>
      </c>
      <c r="E16">
        <v>111.3</v>
      </c>
      <c r="F16">
        <v>104.7</v>
      </c>
      <c r="G16">
        <v>106.8</v>
      </c>
      <c r="H16">
        <v>103.9</v>
      </c>
      <c r="I16">
        <v>109.3</v>
      </c>
      <c r="J16">
        <v>112.9</v>
      </c>
      <c r="K16">
        <v>105.8</v>
      </c>
      <c r="L16">
        <v>103.1</v>
      </c>
      <c r="M16">
        <v>104.3</v>
      </c>
      <c r="N16">
        <v>108.1</v>
      </c>
      <c r="O16">
        <v>110.5</v>
      </c>
      <c r="R16">
        <v>109.2</v>
      </c>
      <c r="S16">
        <v>108.6</v>
      </c>
      <c r="T16">
        <v>108.7</v>
      </c>
      <c r="U16">
        <v>107.4</v>
      </c>
      <c r="V16">
        <v>108.5</v>
      </c>
      <c r="W16">
        <v>100.5</v>
      </c>
      <c r="X16">
        <v>107.4</v>
      </c>
      <c r="Y16">
        <v>106.9</v>
      </c>
      <c r="Z16">
        <v>105.9</v>
      </c>
      <c r="AA16">
        <v>104</v>
      </c>
      <c r="AB16">
        <v>104.8</v>
      </c>
      <c r="AC16">
        <v>105.6</v>
      </c>
      <c r="AD16">
        <v>102.3</v>
      </c>
      <c r="AE16">
        <v>104.8</v>
      </c>
      <c r="AF16">
        <v>106.9</v>
      </c>
    </row>
    <row r="17" spans="1:32" hidden="1" x14ac:dyDescent="0.3">
      <c r="A17" t="s">
        <v>30</v>
      </c>
      <c r="B17">
        <v>2013</v>
      </c>
      <c r="C17" t="s">
        <v>39</v>
      </c>
      <c r="D17">
        <v>112.3</v>
      </c>
      <c r="E17">
        <v>112.1</v>
      </c>
      <c r="F17">
        <v>108.1</v>
      </c>
      <c r="G17">
        <v>108.3</v>
      </c>
      <c r="H17">
        <v>105.9</v>
      </c>
      <c r="I17">
        <v>109.2</v>
      </c>
      <c r="J17">
        <v>118</v>
      </c>
      <c r="K17">
        <v>106.8</v>
      </c>
      <c r="L17">
        <v>104.1</v>
      </c>
      <c r="M17">
        <v>105.4</v>
      </c>
      <c r="N17">
        <v>108.2</v>
      </c>
      <c r="O17">
        <v>111</v>
      </c>
      <c r="R17">
        <v>110.6</v>
      </c>
      <c r="S17">
        <v>109</v>
      </c>
      <c r="T17">
        <v>109.7</v>
      </c>
      <c r="U17">
        <v>108.8</v>
      </c>
      <c r="V17">
        <v>109.5</v>
      </c>
      <c r="W17" t="s">
        <v>32</v>
      </c>
      <c r="X17">
        <v>108.5</v>
      </c>
      <c r="Y17">
        <v>107.5</v>
      </c>
      <c r="Z17">
        <v>106.3</v>
      </c>
      <c r="AA17">
        <v>105</v>
      </c>
      <c r="AB17">
        <v>105.6</v>
      </c>
      <c r="AC17">
        <v>106.5</v>
      </c>
      <c r="AD17">
        <v>102.5</v>
      </c>
      <c r="AE17">
        <v>105.5</v>
      </c>
      <c r="AF17">
        <v>108.9</v>
      </c>
    </row>
    <row r="18" spans="1:32" hidden="1" x14ac:dyDescent="0.3">
      <c r="A18" t="s">
        <v>33</v>
      </c>
      <c r="B18">
        <v>2013</v>
      </c>
      <c r="C18" t="s">
        <v>39</v>
      </c>
      <c r="D18">
        <v>117</v>
      </c>
      <c r="E18">
        <v>120.1</v>
      </c>
      <c r="F18">
        <v>112.5</v>
      </c>
      <c r="G18">
        <v>107.3</v>
      </c>
      <c r="H18">
        <v>101.3</v>
      </c>
      <c r="I18">
        <v>112.4</v>
      </c>
      <c r="J18">
        <v>143.6</v>
      </c>
      <c r="K18">
        <v>105.4</v>
      </c>
      <c r="L18">
        <v>101.4</v>
      </c>
      <c r="M18">
        <v>106.4</v>
      </c>
      <c r="N18">
        <v>110</v>
      </c>
      <c r="O18">
        <v>112.2</v>
      </c>
      <c r="R18">
        <v>115</v>
      </c>
      <c r="S18">
        <v>110.9</v>
      </c>
      <c r="T18">
        <v>109.2</v>
      </c>
      <c r="U18">
        <v>107.2</v>
      </c>
      <c r="V18">
        <v>108.9</v>
      </c>
      <c r="W18">
        <v>106.6</v>
      </c>
      <c r="X18">
        <v>108</v>
      </c>
      <c r="Y18">
        <v>107.7</v>
      </c>
      <c r="Z18">
        <v>106.5</v>
      </c>
      <c r="AA18">
        <v>105.2</v>
      </c>
      <c r="AB18">
        <v>105.2</v>
      </c>
      <c r="AC18">
        <v>108.1</v>
      </c>
      <c r="AD18">
        <v>103.3</v>
      </c>
      <c r="AE18">
        <v>106.1</v>
      </c>
      <c r="AF18">
        <v>109.7</v>
      </c>
    </row>
    <row r="19" spans="1:32" hidden="1" x14ac:dyDescent="0.3">
      <c r="A19" t="s">
        <v>34</v>
      </c>
      <c r="B19">
        <v>2013</v>
      </c>
      <c r="C19" t="s">
        <v>39</v>
      </c>
      <c r="D19">
        <v>113.8</v>
      </c>
      <c r="E19">
        <v>114.9</v>
      </c>
      <c r="F19">
        <v>109.8</v>
      </c>
      <c r="G19">
        <v>107.9</v>
      </c>
      <c r="H19">
        <v>104.2</v>
      </c>
      <c r="I19">
        <v>110.7</v>
      </c>
      <c r="J19">
        <v>126.7</v>
      </c>
      <c r="K19">
        <v>106.3</v>
      </c>
      <c r="L19">
        <v>103.2</v>
      </c>
      <c r="M19">
        <v>105.7</v>
      </c>
      <c r="N19">
        <v>109</v>
      </c>
      <c r="O19">
        <v>111.6</v>
      </c>
      <c r="R19">
        <v>112.2</v>
      </c>
      <c r="S19">
        <v>109.5</v>
      </c>
      <c r="T19">
        <v>109.5</v>
      </c>
      <c r="U19">
        <v>108.1</v>
      </c>
      <c r="V19">
        <v>109.3</v>
      </c>
      <c r="W19">
        <v>106.6</v>
      </c>
      <c r="X19">
        <v>108.3</v>
      </c>
      <c r="Y19">
        <v>107.6</v>
      </c>
      <c r="Z19">
        <v>106.4</v>
      </c>
      <c r="AA19">
        <v>105.1</v>
      </c>
      <c r="AB19">
        <v>105.4</v>
      </c>
      <c r="AC19">
        <v>107.4</v>
      </c>
      <c r="AD19">
        <v>102.8</v>
      </c>
      <c r="AE19">
        <v>105.8</v>
      </c>
      <c r="AF19">
        <v>109.3</v>
      </c>
    </row>
    <row r="20" spans="1:32"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R20">
        <v>113.1</v>
      </c>
      <c r="S20">
        <v>109.8</v>
      </c>
      <c r="T20">
        <v>110.5</v>
      </c>
      <c r="U20">
        <v>109.5</v>
      </c>
      <c r="V20">
        <v>110.3</v>
      </c>
      <c r="W20" t="s">
        <v>32</v>
      </c>
      <c r="X20">
        <v>109.5</v>
      </c>
      <c r="Y20">
        <v>108.3</v>
      </c>
      <c r="Z20">
        <v>106.9</v>
      </c>
      <c r="AA20">
        <v>106.8</v>
      </c>
      <c r="AB20">
        <v>106.4</v>
      </c>
      <c r="AC20">
        <v>107.8</v>
      </c>
      <c r="AD20">
        <v>102.5</v>
      </c>
      <c r="AE20">
        <v>106.5</v>
      </c>
      <c r="AF20">
        <v>110.7</v>
      </c>
    </row>
    <row r="21" spans="1:32" hidden="1" x14ac:dyDescent="0.3">
      <c r="A21" t="s">
        <v>33</v>
      </c>
      <c r="B21">
        <v>2013</v>
      </c>
      <c r="C21" t="s">
        <v>40</v>
      </c>
      <c r="D21">
        <v>117.8</v>
      </c>
      <c r="E21">
        <v>119.2</v>
      </c>
      <c r="F21">
        <v>114</v>
      </c>
      <c r="G21">
        <v>108.3</v>
      </c>
      <c r="H21">
        <v>101.1</v>
      </c>
      <c r="I21">
        <v>113.2</v>
      </c>
      <c r="J21">
        <v>160.9</v>
      </c>
      <c r="K21">
        <v>105.1</v>
      </c>
      <c r="L21">
        <v>101.3</v>
      </c>
      <c r="M21">
        <v>107.5</v>
      </c>
      <c r="N21">
        <v>110.4</v>
      </c>
      <c r="O21">
        <v>113.1</v>
      </c>
      <c r="R21">
        <v>117.5</v>
      </c>
      <c r="S21">
        <v>111.7</v>
      </c>
      <c r="T21">
        <v>109.8</v>
      </c>
      <c r="U21">
        <v>107.8</v>
      </c>
      <c r="V21">
        <v>109.5</v>
      </c>
      <c r="W21">
        <v>107.7</v>
      </c>
      <c r="X21">
        <v>108.6</v>
      </c>
      <c r="Y21">
        <v>108.1</v>
      </c>
      <c r="Z21">
        <v>107.1</v>
      </c>
      <c r="AA21">
        <v>107.3</v>
      </c>
      <c r="AB21">
        <v>105.9</v>
      </c>
      <c r="AC21">
        <v>110.1</v>
      </c>
      <c r="AD21">
        <v>103.2</v>
      </c>
      <c r="AE21">
        <v>107.3</v>
      </c>
      <c r="AF21">
        <v>111.4</v>
      </c>
    </row>
    <row r="22" spans="1:32" hidden="1" x14ac:dyDescent="0.3">
      <c r="A22" t="s">
        <v>34</v>
      </c>
      <c r="B22">
        <v>2013</v>
      </c>
      <c r="C22" t="s">
        <v>40</v>
      </c>
      <c r="D22">
        <v>114.8</v>
      </c>
      <c r="E22">
        <v>116.4</v>
      </c>
      <c r="F22">
        <v>111.9</v>
      </c>
      <c r="G22">
        <v>108.9</v>
      </c>
      <c r="H22">
        <v>104.3</v>
      </c>
      <c r="I22">
        <v>111.7</v>
      </c>
      <c r="J22">
        <v>140</v>
      </c>
      <c r="K22">
        <v>106.4</v>
      </c>
      <c r="L22">
        <v>103.3</v>
      </c>
      <c r="M22">
        <v>106.8</v>
      </c>
      <c r="N22">
        <v>109.6</v>
      </c>
      <c r="O22">
        <v>112.6</v>
      </c>
      <c r="R22">
        <v>114.7</v>
      </c>
      <c r="S22">
        <v>110.3</v>
      </c>
      <c r="T22">
        <v>110.2</v>
      </c>
      <c r="U22">
        <v>108.8</v>
      </c>
      <c r="V22">
        <v>110</v>
      </c>
      <c r="W22">
        <v>107.7</v>
      </c>
      <c r="X22">
        <v>109.2</v>
      </c>
      <c r="Y22">
        <v>108.2</v>
      </c>
      <c r="Z22">
        <v>107</v>
      </c>
      <c r="AA22">
        <v>107.1</v>
      </c>
      <c r="AB22">
        <v>106.1</v>
      </c>
      <c r="AC22">
        <v>109.1</v>
      </c>
      <c r="AD22">
        <v>102.8</v>
      </c>
      <c r="AE22">
        <v>106.9</v>
      </c>
      <c r="AF22">
        <v>111</v>
      </c>
    </row>
    <row r="23" spans="1:32" hidden="1" x14ac:dyDescent="0.3">
      <c r="A23" t="s">
        <v>30</v>
      </c>
      <c r="B23">
        <v>2013</v>
      </c>
      <c r="C23" t="s">
        <v>41</v>
      </c>
      <c r="D23">
        <v>114.3</v>
      </c>
      <c r="E23">
        <v>115.4</v>
      </c>
      <c r="F23">
        <v>111.1</v>
      </c>
      <c r="G23">
        <v>110</v>
      </c>
      <c r="H23">
        <v>106.4</v>
      </c>
      <c r="I23">
        <v>110.8</v>
      </c>
      <c r="J23">
        <v>138.9</v>
      </c>
      <c r="K23">
        <v>107.4</v>
      </c>
      <c r="L23">
        <v>104.1</v>
      </c>
      <c r="M23">
        <v>106.9</v>
      </c>
      <c r="N23">
        <v>109.7</v>
      </c>
      <c r="O23">
        <v>112.6</v>
      </c>
      <c r="R23">
        <v>114.9</v>
      </c>
      <c r="S23">
        <v>110.7</v>
      </c>
      <c r="T23">
        <v>111.3</v>
      </c>
      <c r="U23">
        <v>110.2</v>
      </c>
      <c r="V23">
        <v>111.1</v>
      </c>
      <c r="W23" t="s">
        <v>32</v>
      </c>
      <c r="X23">
        <v>109.9</v>
      </c>
      <c r="Y23">
        <v>108.7</v>
      </c>
      <c r="Z23">
        <v>107.5</v>
      </c>
      <c r="AA23">
        <v>107.8</v>
      </c>
      <c r="AB23">
        <v>106.8</v>
      </c>
      <c r="AC23">
        <v>108.7</v>
      </c>
      <c r="AD23">
        <v>105</v>
      </c>
      <c r="AE23">
        <v>107.5</v>
      </c>
      <c r="AF23">
        <v>112.1</v>
      </c>
    </row>
    <row r="24" spans="1:32" hidden="1" x14ac:dyDescent="0.3">
      <c r="A24" t="s">
        <v>33</v>
      </c>
      <c r="B24">
        <v>2013</v>
      </c>
      <c r="C24" t="s">
        <v>41</v>
      </c>
      <c r="D24">
        <v>118.3</v>
      </c>
      <c r="E24">
        <v>120.4</v>
      </c>
      <c r="F24">
        <v>112.7</v>
      </c>
      <c r="G24">
        <v>108.9</v>
      </c>
      <c r="H24">
        <v>101.1</v>
      </c>
      <c r="I24">
        <v>108.7</v>
      </c>
      <c r="J24">
        <v>177</v>
      </c>
      <c r="K24">
        <v>104.7</v>
      </c>
      <c r="L24">
        <v>101</v>
      </c>
      <c r="M24">
        <v>108.5</v>
      </c>
      <c r="N24">
        <v>110.9</v>
      </c>
      <c r="O24">
        <v>114.3</v>
      </c>
      <c r="R24">
        <v>119.6</v>
      </c>
      <c r="S24">
        <v>112.4</v>
      </c>
      <c r="T24">
        <v>110.6</v>
      </c>
      <c r="U24">
        <v>108.3</v>
      </c>
      <c r="V24">
        <v>110.2</v>
      </c>
      <c r="W24">
        <v>108.9</v>
      </c>
      <c r="X24">
        <v>109.3</v>
      </c>
      <c r="Y24">
        <v>108.7</v>
      </c>
      <c r="Z24">
        <v>107.6</v>
      </c>
      <c r="AA24">
        <v>108.1</v>
      </c>
      <c r="AB24">
        <v>106.5</v>
      </c>
      <c r="AC24">
        <v>110.8</v>
      </c>
      <c r="AD24">
        <v>106</v>
      </c>
      <c r="AE24">
        <v>108.3</v>
      </c>
      <c r="AF24">
        <v>112.7</v>
      </c>
    </row>
    <row r="25" spans="1:32"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R25">
        <v>116.6</v>
      </c>
      <c r="S25">
        <v>111.2</v>
      </c>
      <c r="T25">
        <v>111</v>
      </c>
      <c r="U25">
        <v>109.4</v>
      </c>
      <c r="V25">
        <v>110.7</v>
      </c>
      <c r="W25">
        <v>108.9</v>
      </c>
      <c r="X25">
        <v>109.7</v>
      </c>
      <c r="Y25">
        <v>108.7</v>
      </c>
      <c r="Z25">
        <v>107.5</v>
      </c>
      <c r="AA25">
        <v>108</v>
      </c>
      <c r="AB25">
        <v>106.6</v>
      </c>
      <c r="AC25">
        <v>109.9</v>
      </c>
      <c r="AD25">
        <v>105.4</v>
      </c>
      <c r="AE25">
        <v>107.9</v>
      </c>
      <c r="AF25">
        <v>112.4</v>
      </c>
    </row>
    <row r="26" spans="1:32" hidden="1" x14ac:dyDescent="0.3">
      <c r="A26" t="s">
        <v>30</v>
      </c>
      <c r="B26">
        <v>2013</v>
      </c>
      <c r="C26" t="s">
        <v>42</v>
      </c>
      <c r="D26">
        <v>115.4</v>
      </c>
      <c r="E26">
        <v>115.7</v>
      </c>
      <c r="F26">
        <v>111.7</v>
      </c>
      <c r="G26">
        <v>111</v>
      </c>
      <c r="H26">
        <v>107.4</v>
      </c>
      <c r="I26">
        <v>110.9</v>
      </c>
      <c r="J26">
        <v>154</v>
      </c>
      <c r="K26">
        <v>108.1</v>
      </c>
      <c r="L26">
        <v>104.2</v>
      </c>
      <c r="M26">
        <v>107.9</v>
      </c>
      <c r="N26">
        <v>110.4</v>
      </c>
      <c r="O26">
        <v>114</v>
      </c>
      <c r="R26">
        <v>117.8</v>
      </c>
      <c r="S26">
        <v>111.7</v>
      </c>
      <c r="T26">
        <v>112.7</v>
      </c>
      <c r="U26">
        <v>111.4</v>
      </c>
      <c r="V26">
        <v>112.5</v>
      </c>
      <c r="W26" t="s">
        <v>32</v>
      </c>
      <c r="X26">
        <v>111.1</v>
      </c>
      <c r="Y26">
        <v>109.6</v>
      </c>
      <c r="Z26">
        <v>108.3</v>
      </c>
      <c r="AA26">
        <v>109.3</v>
      </c>
      <c r="AB26">
        <v>107.7</v>
      </c>
      <c r="AC26">
        <v>109.8</v>
      </c>
      <c r="AD26">
        <v>106.7</v>
      </c>
      <c r="AE26">
        <v>108.7</v>
      </c>
      <c r="AF26">
        <v>114.2</v>
      </c>
    </row>
    <row r="27" spans="1:32" hidden="1" x14ac:dyDescent="0.3">
      <c r="A27" t="s">
        <v>33</v>
      </c>
      <c r="B27">
        <v>2013</v>
      </c>
      <c r="C27" t="s">
        <v>42</v>
      </c>
      <c r="D27">
        <v>118.6</v>
      </c>
      <c r="E27">
        <v>119.1</v>
      </c>
      <c r="F27">
        <v>113.2</v>
      </c>
      <c r="G27">
        <v>109.6</v>
      </c>
      <c r="H27">
        <v>101.7</v>
      </c>
      <c r="I27">
        <v>103.2</v>
      </c>
      <c r="J27">
        <v>174.3</v>
      </c>
      <c r="K27">
        <v>105.1</v>
      </c>
      <c r="L27">
        <v>100.8</v>
      </c>
      <c r="M27">
        <v>109.1</v>
      </c>
      <c r="N27">
        <v>111.1</v>
      </c>
      <c r="O27">
        <v>115.4</v>
      </c>
      <c r="R27">
        <v>119.2</v>
      </c>
      <c r="S27">
        <v>112.9</v>
      </c>
      <c r="T27">
        <v>111.4</v>
      </c>
      <c r="U27">
        <v>109</v>
      </c>
      <c r="V27">
        <v>111.1</v>
      </c>
      <c r="W27">
        <v>109.7</v>
      </c>
      <c r="X27">
        <v>109.5</v>
      </c>
      <c r="Y27">
        <v>109.6</v>
      </c>
      <c r="Z27">
        <v>107.9</v>
      </c>
      <c r="AA27">
        <v>110.4</v>
      </c>
      <c r="AB27">
        <v>107.4</v>
      </c>
      <c r="AC27">
        <v>111.2</v>
      </c>
      <c r="AD27">
        <v>106.9</v>
      </c>
      <c r="AE27">
        <v>109.4</v>
      </c>
      <c r="AF27">
        <v>113.2</v>
      </c>
    </row>
    <row r="28" spans="1:32" hidden="1" x14ac:dyDescent="0.3">
      <c r="A28" t="s">
        <v>34</v>
      </c>
      <c r="B28">
        <v>2013</v>
      </c>
      <c r="C28" t="s">
        <v>42</v>
      </c>
      <c r="D28">
        <v>116.4</v>
      </c>
      <c r="E28">
        <v>116.9</v>
      </c>
      <c r="F28">
        <v>112.3</v>
      </c>
      <c r="G28">
        <v>110.5</v>
      </c>
      <c r="H28">
        <v>105.3</v>
      </c>
      <c r="I28">
        <v>107.3</v>
      </c>
      <c r="J28">
        <v>160.9</v>
      </c>
      <c r="K28">
        <v>107.1</v>
      </c>
      <c r="L28">
        <v>103.1</v>
      </c>
      <c r="M28">
        <v>108.3</v>
      </c>
      <c r="N28">
        <v>110.7</v>
      </c>
      <c r="O28">
        <v>114.6</v>
      </c>
      <c r="R28">
        <v>118.3</v>
      </c>
      <c r="S28">
        <v>112</v>
      </c>
      <c r="T28">
        <v>112.2</v>
      </c>
      <c r="U28">
        <v>110.4</v>
      </c>
      <c r="V28">
        <v>111.9</v>
      </c>
      <c r="W28">
        <v>109.7</v>
      </c>
      <c r="X28">
        <v>110.5</v>
      </c>
      <c r="Y28">
        <v>109.6</v>
      </c>
      <c r="Z28">
        <v>108.1</v>
      </c>
      <c r="AA28">
        <v>109.9</v>
      </c>
      <c r="AB28">
        <v>107.5</v>
      </c>
      <c r="AC28">
        <v>110.6</v>
      </c>
      <c r="AD28">
        <v>106.8</v>
      </c>
      <c r="AE28">
        <v>109</v>
      </c>
      <c r="AF28">
        <v>113.7</v>
      </c>
    </row>
    <row r="29" spans="1:32" hidden="1" x14ac:dyDescent="0.3">
      <c r="A29" t="s">
        <v>30</v>
      </c>
      <c r="B29">
        <v>2013</v>
      </c>
      <c r="C29" t="s">
        <v>43</v>
      </c>
      <c r="D29">
        <v>116.3</v>
      </c>
      <c r="E29">
        <v>115.4</v>
      </c>
      <c r="F29">
        <v>112.6</v>
      </c>
      <c r="G29">
        <v>111.7</v>
      </c>
      <c r="H29">
        <v>107.7</v>
      </c>
      <c r="I29">
        <v>113.2</v>
      </c>
      <c r="J29">
        <v>164.9</v>
      </c>
      <c r="K29">
        <v>108.3</v>
      </c>
      <c r="L29">
        <v>103.9</v>
      </c>
      <c r="M29">
        <v>108.2</v>
      </c>
      <c r="N29">
        <v>111.1</v>
      </c>
      <c r="O29">
        <v>114.9</v>
      </c>
      <c r="R29">
        <v>119.8</v>
      </c>
      <c r="S29">
        <v>112.2</v>
      </c>
      <c r="T29">
        <v>113.6</v>
      </c>
      <c r="U29">
        <v>112.3</v>
      </c>
      <c r="V29">
        <v>113.4</v>
      </c>
      <c r="W29" t="s">
        <v>32</v>
      </c>
      <c r="X29">
        <v>111.6</v>
      </c>
      <c r="Y29">
        <v>110.4</v>
      </c>
      <c r="Z29">
        <v>108.9</v>
      </c>
      <c r="AA29">
        <v>109.3</v>
      </c>
      <c r="AB29">
        <v>108.3</v>
      </c>
      <c r="AC29">
        <v>110.2</v>
      </c>
      <c r="AD29">
        <v>107.5</v>
      </c>
      <c r="AE29">
        <v>109.1</v>
      </c>
      <c r="AF29">
        <v>115.5</v>
      </c>
    </row>
    <row r="30" spans="1:32" hidden="1" x14ac:dyDescent="0.3">
      <c r="A30" t="s">
        <v>33</v>
      </c>
      <c r="B30">
        <v>2013</v>
      </c>
      <c r="C30" t="s">
        <v>43</v>
      </c>
      <c r="D30">
        <v>118.9</v>
      </c>
      <c r="E30">
        <v>118.1</v>
      </c>
      <c r="F30">
        <v>114.5</v>
      </c>
      <c r="G30">
        <v>110.4</v>
      </c>
      <c r="H30">
        <v>102.3</v>
      </c>
      <c r="I30">
        <v>106.2</v>
      </c>
      <c r="J30">
        <v>183.5</v>
      </c>
      <c r="K30">
        <v>105.3</v>
      </c>
      <c r="L30">
        <v>100.2</v>
      </c>
      <c r="M30">
        <v>109.6</v>
      </c>
      <c r="N30">
        <v>111.4</v>
      </c>
      <c r="O30">
        <v>116</v>
      </c>
      <c r="R30">
        <v>120.8</v>
      </c>
      <c r="S30">
        <v>113.5</v>
      </c>
      <c r="T30">
        <v>112.5</v>
      </c>
      <c r="U30">
        <v>109.7</v>
      </c>
      <c r="V30">
        <v>112</v>
      </c>
      <c r="W30">
        <v>110.5</v>
      </c>
      <c r="X30">
        <v>109.7</v>
      </c>
      <c r="Y30">
        <v>110.2</v>
      </c>
      <c r="Z30">
        <v>108.2</v>
      </c>
      <c r="AA30">
        <v>109.7</v>
      </c>
      <c r="AB30">
        <v>108</v>
      </c>
      <c r="AC30">
        <v>111.3</v>
      </c>
      <c r="AD30">
        <v>107.3</v>
      </c>
      <c r="AE30">
        <v>109.4</v>
      </c>
      <c r="AF30">
        <v>114</v>
      </c>
    </row>
    <row r="31" spans="1:32" hidden="1" x14ac:dyDescent="0.3">
      <c r="A31" t="s">
        <v>34</v>
      </c>
      <c r="B31">
        <v>2013</v>
      </c>
      <c r="C31" t="s">
        <v>43</v>
      </c>
      <c r="D31">
        <v>117.1</v>
      </c>
      <c r="E31">
        <v>116.3</v>
      </c>
      <c r="F31">
        <v>113.3</v>
      </c>
      <c r="G31">
        <v>111.2</v>
      </c>
      <c r="H31">
        <v>105.7</v>
      </c>
      <c r="I31">
        <v>109.9</v>
      </c>
      <c r="J31">
        <v>171.2</v>
      </c>
      <c r="K31">
        <v>107.3</v>
      </c>
      <c r="L31">
        <v>102.7</v>
      </c>
      <c r="M31">
        <v>108.7</v>
      </c>
      <c r="N31">
        <v>111.2</v>
      </c>
      <c r="O31">
        <v>115.4</v>
      </c>
      <c r="R31">
        <v>120.2</v>
      </c>
      <c r="S31">
        <v>112.5</v>
      </c>
      <c r="T31">
        <v>113.2</v>
      </c>
      <c r="U31">
        <v>111.2</v>
      </c>
      <c r="V31">
        <v>112.8</v>
      </c>
      <c r="W31">
        <v>110.5</v>
      </c>
      <c r="X31">
        <v>110.9</v>
      </c>
      <c r="Y31">
        <v>110.3</v>
      </c>
      <c r="Z31">
        <v>108.6</v>
      </c>
      <c r="AA31">
        <v>109.5</v>
      </c>
      <c r="AB31">
        <v>108.1</v>
      </c>
      <c r="AC31">
        <v>110.8</v>
      </c>
      <c r="AD31">
        <v>107.4</v>
      </c>
      <c r="AE31">
        <v>109.2</v>
      </c>
      <c r="AF31">
        <v>114.8</v>
      </c>
    </row>
    <row r="32" spans="1:32" hidden="1" x14ac:dyDescent="0.3">
      <c r="A32" t="s">
        <v>30</v>
      </c>
      <c r="B32">
        <v>2013</v>
      </c>
      <c r="C32" t="s">
        <v>44</v>
      </c>
      <c r="D32">
        <v>117.3</v>
      </c>
      <c r="E32">
        <v>114.9</v>
      </c>
      <c r="F32">
        <v>116.2</v>
      </c>
      <c r="G32">
        <v>112.8</v>
      </c>
      <c r="H32">
        <v>108.9</v>
      </c>
      <c r="I32">
        <v>116.6</v>
      </c>
      <c r="J32">
        <v>178.1</v>
      </c>
      <c r="K32">
        <v>109.1</v>
      </c>
      <c r="L32">
        <v>103.6</v>
      </c>
      <c r="M32">
        <v>109</v>
      </c>
      <c r="N32">
        <v>111.8</v>
      </c>
      <c r="O32">
        <v>116</v>
      </c>
      <c r="R32">
        <v>122.5</v>
      </c>
      <c r="S32">
        <v>112.8</v>
      </c>
      <c r="T32">
        <v>114.6</v>
      </c>
      <c r="U32">
        <v>113.1</v>
      </c>
      <c r="V32">
        <v>114.4</v>
      </c>
      <c r="W32" t="s">
        <v>32</v>
      </c>
      <c r="X32">
        <v>112.6</v>
      </c>
      <c r="Y32">
        <v>111.3</v>
      </c>
      <c r="Z32">
        <v>109.7</v>
      </c>
      <c r="AA32">
        <v>109.6</v>
      </c>
      <c r="AB32">
        <v>108.7</v>
      </c>
      <c r="AC32">
        <v>111</v>
      </c>
      <c r="AD32">
        <v>108.2</v>
      </c>
      <c r="AE32">
        <v>109.8</v>
      </c>
      <c r="AF32">
        <v>117.4</v>
      </c>
    </row>
    <row r="33" spans="1:32" hidden="1" x14ac:dyDescent="0.3">
      <c r="A33" t="s">
        <v>33</v>
      </c>
      <c r="B33">
        <v>2013</v>
      </c>
      <c r="C33" t="s">
        <v>45</v>
      </c>
      <c r="D33">
        <v>119.8</v>
      </c>
      <c r="E33">
        <v>116.3</v>
      </c>
      <c r="F33">
        <v>122.6</v>
      </c>
      <c r="G33">
        <v>112</v>
      </c>
      <c r="H33">
        <v>103.2</v>
      </c>
      <c r="I33">
        <v>110</v>
      </c>
      <c r="J33">
        <v>192.8</v>
      </c>
      <c r="K33">
        <v>106.3</v>
      </c>
      <c r="L33">
        <v>99.5</v>
      </c>
      <c r="M33">
        <v>110.3</v>
      </c>
      <c r="N33">
        <v>111.8</v>
      </c>
      <c r="O33">
        <v>117.1</v>
      </c>
      <c r="R33">
        <v>122.9</v>
      </c>
      <c r="S33">
        <v>114.1</v>
      </c>
      <c r="T33">
        <v>113.5</v>
      </c>
      <c r="U33">
        <v>110.3</v>
      </c>
      <c r="V33">
        <v>113</v>
      </c>
      <c r="W33">
        <v>111.1</v>
      </c>
      <c r="X33">
        <v>110</v>
      </c>
      <c r="Y33">
        <v>110.9</v>
      </c>
      <c r="Z33">
        <v>108.6</v>
      </c>
      <c r="AA33">
        <v>109.5</v>
      </c>
      <c r="AB33">
        <v>108.5</v>
      </c>
      <c r="AC33">
        <v>111.3</v>
      </c>
      <c r="AD33">
        <v>107.9</v>
      </c>
      <c r="AE33">
        <v>109.6</v>
      </c>
      <c r="AF33">
        <v>115</v>
      </c>
    </row>
    <row r="34" spans="1:32" hidden="1" x14ac:dyDescent="0.3">
      <c r="A34" t="s">
        <v>34</v>
      </c>
      <c r="B34">
        <v>2013</v>
      </c>
      <c r="C34" t="s">
        <v>45</v>
      </c>
      <c r="D34">
        <v>118.1</v>
      </c>
      <c r="E34">
        <v>115.4</v>
      </c>
      <c r="F34">
        <v>118.7</v>
      </c>
      <c r="G34">
        <v>112.5</v>
      </c>
      <c r="H34">
        <v>106.8</v>
      </c>
      <c r="I34">
        <v>113.5</v>
      </c>
      <c r="J34">
        <v>183.1</v>
      </c>
      <c r="K34">
        <v>108.2</v>
      </c>
      <c r="L34">
        <v>102.2</v>
      </c>
      <c r="M34">
        <v>109.4</v>
      </c>
      <c r="N34">
        <v>111.8</v>
      </c>
      <c r="O34">
        <v>116.5</v>
      </c>
      <c r="R34">
        <v>122.6</v>
      </c>
      <c r="S34">
        <v>113.1</v>
      </c>
      <c r="T34">
        <v>114.2</v>
      </c>
      <c r="U34">
        <v>111.9</v>
      </c>
      <c r="V34">
        <v>113.8</v>
      </c>
      <c r="W34">
        <v>111.1</v>
      </c>
      <c r="X34">
        <v>111.6</v>
      </c>
      <c r="Y34">
        <v>111.1</v>
      </c>
      <c r="Z34">
        <v>109.3</v>
      </c>
      <c r="AA34">
        <v>109.5</v>
      </c>
      <c r="AB34">
        <v>108.6</v>
      </c>
      <c r="AC34">
        <v>111.2</v>
      </c>
      <c r="AD34">
        <v>108.1</v>
      </c>
      <c r="AE34">
        <v>109.7</v>
      </c>
      <c r="AF34">
        <v>116.3</v>
      </c>
    </row>
    <row r="35" spans="1:32"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R35">
        <v>118.7</v>
      </c>
      <c r="S35">
        <v>113.6</v>
      </c>
      <c r="T35">
        <v>115.8</v>
      </c>
      <c r="U35">
        <v>114</v>
      </c>
      <c r="V35">
        <v>115.5</v>
      </c>
      <c r="W35" t="s">
        <v>32</v>
      </c>
      <c r="X35">
        <v>112.8</v>
      </c>
      <c r="Y35">
        <v>112.1</v>
      </c>
      <c r="Z35">
        <v>110.1</v>
      </c>
      <c r="AA35">
        <v>109.9</v>
      </c>
      <c r="AB35">
        <v>109.2</v>
      </c>
      <c r="AC35">
        <v>111.6</v>
      </c>
      <c r="AD35">
        <v>108.1</v>
      </c>
      <c r="AE35">
        <v>110.1</v>
      </c>
      <c r="AF35">
        <v>115.5</v>
      </c>
    </row>
    <row r="36" spans="1:32"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R36">
        <v>117.8</v>
      </c>
      <c r="S36">
        <v>115</v>
      </c>
      <c r="T36">
        <v>114.2</v>
      </c>
      <c r="U36">
        <v>110.9</v>
      </c>
      <c r="V36">
        <v>113.7</v>
      </c>
      <c r="W36">
        <v>110.7</v>
      </c>
      <c r="X36">
        <v>110.4</v>
      </c>
      <c r="Y36">
        <v>111.3</v>
      </c>
      <c r="Z36">
        <v>109</v>
      </c>
      <c r="AA36">
        <v>109.7</v>
      </c>
      <c r="AB36">
        <v>108.9</v>
      </c>
      <c r="AC36">
        <v>111.4</v>
      </c>
      <c r="AD36">
        <v>107.7</v>
      </c>
      <c r="AE36">
        <v>109.8</v>
      </c>
      <c r="AF36">
        <v>113.3</v>
      </c>
    </row>
    <row r="37" spans="1:32" hidden="1" x14ac:dyDescent="0.3">
      <c r="A37" t="s">
        <v>34</v>
      </c>
      <c r="B37">
        <v>2013</v>
      </c>
      <c r="C37" t="s">
        <v>46</v>
      </c>
      <c r="D37">
        <v>119.1</v>
      </c>
      <c r="E37">
        <v>116.7</v>
      </c>
      <c r="F37">
        <v>123.5</v>
      </c>
      <c r="G37">
        <v>113.4</v>
      </c>
      <c r="H37">
        <v>107.3</v>
      </c>
      <c r="I37">
        <v>113.3</v>
      </c>
      <c r="J37">
        <v>145.4</v>
      </c>
      <c r="K37">
        <v>108.7</v>
      </c>
      <c r="L37">
        <v>101.5</v>
      </c>
      <c r="M37">
        <v>110.5</v>
      </c>
      <c r="N37">
        <v>112.1</v>
      </c>
      <c r="O37">
        <v>117.4</v>
      </c>
      <c r="R37">
        <v>118.4</v>
      </c>
      <c r="S37">
        <v>114</v>
      </c>
      <c r="T37">
        <v>115.2</v>
      </c>
      <c r="U37">
        <v>112.7</v>
      </c>
      <c r="V37">
        <v>114.8</v>
      </c>
      <c r="W37">
        <v>110.7</v>
      </c>
      <c r="X37">
        <v>111.9</v>
      </c>
      <c r="Y37">
        <v>111.7</v>
      </c>
      <c r="Z37">
        <v>109.7</v>
      </c>
      <c r="AA37">
        <v>109.8</v>
      </c>
      <c r="AB37">
        <v>109</v>
      </c>
      <c r="AC37">
        <v>111.5</v>
      </c>
      <c r="AD37">
        <v>107.9</v>
      </c>
      <c r="AE37">
        <v>110</v>
      </c>
      <c r="AF37">
        <v>114.5</v>
      </c>
    </row>
    <row r="38" spans="1:32" hidden="1" x14ac:dyDescent="0.3">
      <c r="A38" t="s">
        <v>30</v>
      </c>
      <c r="B38">
        <v>2014</v>
      </c>
      <c r="C38" t="s">
        <v>31</v>
      </c>
      <c r="D38">
        <v>118.9</v>
      </c>
      <c r="E38">
        <v>117.1</v>
      </c>
      <c r="F38">
        <v>120.5</v>
      </c>
      <c r="G38">
        <v>114.4</v>
      </c>
      <c r="H38">
        <v>109</v>
      </c>
      <c r="I38">
        <v>115.5</v>
      </c>
      <c r="J38">
        <v>123.9</v>
      </c>
      <c r="K38">
        <v>109.6</v>
      </c>
      <c r="L38">
        <v>101.8</v>
      </c>
      <c r="M38">
        <v>110.2</v>
      </c>
      <c r="N38">
        <v>112.4</v>
      </c>
      <c r="O38">
        <v>117.3</v>
      </c>
      <c r="R38">
        <v>116</v>
      </c>
      <c r="S38">
        <v>114</v>
      </c>
      <c r="T38">
        <v>116.5</v>
      </c>
      <c r="U38">
        <v>114.5</v>
      </c>
      <c r="V38">
        <v>116.2</v>
      </c>
      <c r="W38" t="s">
        <v>32</v>
      </c>
      <c r="X38">
        <v>113</v>
      </c>
      <c r="Y38">
        <v>112.6</v>
      </c>
      <c r="Z38">
        <v>110.6</v>
      </c>
      <c r="AA38">
        <v>110.5</v>
      </c>
      <c r="AB38">
        <v>109.6</v>
      </c>
      <c r="AC38">
        <v>111.8</v>
      </c>
      <c r="AD38">
        <v>108.3</v>
      </c>
      <c r="AE38">
        <v>110.6</v>
      </c>
      <c r="AF38">
        <v>114.2</v>
      </c>
    </row>
    <row r="39" spans="1:32" hidden="1" x14ac:dyDescent="0.3">
      <c r="A39" t="s">
        <v>33</v>
      </c>
      <c r="B39">
        <v>2014</v>
      </c>
      <c r="C39" t="s">
        <v>31</v>
      </c>
      <c r="D39">
        <v>121.2</v>
      </c>
      <c r="E39">
        <v>122</v>
      </c>
      <c r="F39">
        <v>129.9</v>
      </c>
      <c r="G39">
        <v>113.6</v>
      </c>
      <c r="H39">
        <v>102.9</v>
      </c>
      <c r="I39">
        <v>112.1</v>
      </c>
      <c r="J39">
        <v>118.9</v>
      </c>
      <c r="K39">
        <v>107.5</v>
      </c>
      <c r="L39">
        <v>96.9</v>
      </c>
      <c r="M39">
        <v>112.7</v>
      </c>
      <c r="N39">
        <v>112.1</v>
      </c>
      <c r="O39">
        <v>119</v>
      </c>
      <c r="R39">
        <v>115.5</v>
      </c>
      <c r="S39">
        <v>115.7</v>
      </c>
      <c r="T39">
        <v>114.8</v>
      </c>
      <c r="U39">
        <v>111.3</v>
      </c>
      <c r="V39">
        <v>114.3</v>
      </c>
      <c r="W39">
        <v>111.6</v>
      </c>
      <c r="X39">
        <v>111</v>
      </c>
      <c r="Y39">
        <v>111.9</v>
      </c>
      <c r="Z39">
        <v>109.7</v>
      </c>
      <c r="AA39">
        <v>110.8</v>
      </c>
      <c r="AB39">
        <v>109.8</v>
      </c>
      <c r="AC39">
        <v>111.5</v>
      </c>
      <c r="AD39">
        <v>108</v>
      </c>
      <c r="AE39">
        <v>110.5</v>
      </c>
      <c r="AF39">
        <v>112.9</v>
      </c>
    </row>
    <row r="40" spans="1:32" hidden="1" x14ac:dyDescent="0.3">
      <c r="A40" t="s">
        <v>34</v>
      </c>
      <c r="B40">
        <v>2014</v>
      </c>
      <c r="C40" t="s">
        <v>31</v>
      </c>
      <c r="D40">
        <v>119.6</v>
      </c>
      <c r="E40">
        <v>118.8</v>
      </c>
      <c r="F40">
        <v>124.1</v>
      </c>
      <c r="G40">
        <v>114.1</v>
      </c>
      <c r="H40">
        <v>106.8</v>
      </c>
      <c r="I40">
        <v>113.9</v>
      </c>
      <c r="J40">
        <v>122.2</v>
      </c>
      <c r="K40">
        <v>108.9</v>
      </c>
      <c r="L40">
        <v>100.2</v>
      </c>
      <c r="M40">
        <v>111</v>
      </c>
      <c r="N40">
        <v>112.3</v>
      </c>
      <c r="O40">
        <v>118.1</v>
      </c>
      <c r="R40">
        <v>115.8</v>
      </c>
      <c r="S40">
        <v>114.5</v>
      </c>
      <c r="T40">
        <v>115.8</v>
      </c>
      <c r="U40">
        <v>113.2</v>
      </c>
      <c r="V40">
        <v>115.4</v>
      </c>
      <c r="W40">
        <v>111.6</v>
      </c>
      <c r="X40">
        <v>112.2</v>
      </c>
      <c r="Y40">
        <v>112.3</v>
      </c>
      <c r="Z40">
        <v>110.3</v>
      </c>
      <c r="AA40">
        <v>110.7</v>
      </c>
      <c r="AB40">
        <v>109.7</v>
      </c>
      <c r="AC40">
        <v>111.6</v>
      </c>
      <c r="AD40">
        <v>108.2</v>
      </c>
      <c r="AE40">
        <v>110.6</v>
      </c>
      <c r="AF40">
        <v>113.6</v>
      </c>
    </row>
    <row r="41" spans="1:32" hidden="1" x14ac:dyDescent="0.3">
      <c r="A41" t="s">
        <v>30</v>
      </c>
      <c r="B41">
        <v>2014</v>
      </c>
      <c r="C41" t="s">
        <v>35</v>
      </c>
      <c r="D41">
        <v>119.4</v>
      </c>
      <c r="E41">
        <v>117.7</v>
      </c>
      <c r="F41">
        <v>121.2</v>
      </c>
      <c r="G41">
        <v>115</v>
      </c>
      <c r="H41">
        <v>109</v>
      </c>
      <c r="I41">
        <v>116.6</v>
      </c>
      <c r="J41">
        <v>116</v>
      </c>
      <c r="K41">
        <v>109.8</v>
      </c>
      <c r="L41">
        <v>101.1</v>
      </c>
      <c r="M41">
        <v>110.4</v>
      </c>
      <c r="N41">
        <v>112.9</v>
      </c>
      <c r="O41">
        <v>117.8</v>
      </c>
      <c r="R41">
        <v>115.3</v>
      </c>
      <c r="S41">
        <v>114.2</v>
      </c>
      <c r="T41">
        <v>117.1</v>
      </c>
      <c r="U41">
        <v>114.5</v>
      </c>
      <c r="V41">
        <v>116.7</v>
      </c>
      <c r="W41" t="s">
        <v>32</v>
      </c>
      <c r="X41">
        <v>113.2</v>
      </c>
      <c r="Y41">
        <v>112.9</v>
      </c>
      <c r="Z41">
        <v>110.9</v>
      </c>
      <c r="AA41">
        <v>110.8</v>
      </c>
      <c r="AB41">
        <v>109.9</v>
      </c>
      <c r="AC41">
        <v>112</v>
      </c>
      <c r="AD41">
        <v>108.7</v>
      </c>
      <c r="AE41">
        <v>110.9</v>
      </c>
      <c r="AF41">
        <v>114</v>
      </c>
    </row>
    <row r="42" spans="1:32" hidden="1" x14ac:dyDescent="0.3">
      <c r="A42" t="s">
        <v>33</v>
      </c>
      <c r="B42">
        <v>2014</v>
      </c>
      <c r="C42" t="s">
        <v>35</v>
      </c>
      <c r="D42">
        <v>121.9</v>
      </c>
      <c r="E42">
        <v>122</v>
      </c>
      <c r="F42">
        <v>124.5</v>
      </c>
      <c r="G42">
        <v>115.2</v>
      </c>
      <c r="H42">
        <v>102.5</v>
      </c>
      <c r="I42">
        <v>114.1</v>
      </c>
      <c r="J42">
        <v>111.5</v>
      </c>
      <c r="K42">
        <v>108.2</v>
      </c>
      <c r="L42">
        <v>95.4</v>
      </c>
      <c r="M42">
        <v>113.5</v>
      </c>
      <c r="N42">
        <v>112.1</v>
      </c>
      <c r="O42">
        <v>119.9</v>
      </c>
      <c r="R42">
        <v>115.2</v>
      </c>
      <c r="S42">
        <v>116.2</v>
      </c>
      <c r="T42">
        <v>115.3</v>
      </c>
      <c r="U42">
        <v>111.7</v>
      </c>
      <c r="V42">
        <v>114.7</v>
      </c>
      <c r="W42">
        <v>112.5</v>
      </c>
      <c r="X42">
        <v>111.1</v>
      </c>
      <c r="Y42">
        <v>112.6</v>
      </c>
      <c r="Z42">
        <v>110.4</v>
      </c>
      <c r="AA42">
        <v>111.3</v>
      </c>
      <c r="AB42">
        <v>110.3</v>
      </c>
      <c r="AC42">
        <v>111.6</v>
      </c>
      <c r="AD42">
        <v>108.7</v>
      </c>
      <c r="AE42">
        <v>111</v>
      </c>
      <c r="AF42">
        <v>113.1</v>
      </c>
    </row>
    <row r="43" spans="1:32" hidden="1" x14ac:dyDescent="0.3">
      <c r="A43" t="s">
        <v>34</v>
      </c>
      <c r="B43">
        <v>2014</v>
      </c>
      <c r="C43" t="s">
        <v>35</v>
      </c>
      <c r="D43">
        <v>120.2</v>
      </c>
      <c r="E43">
        <v>119.2</v>
      </c>
      <c r="F43">
        <v>122.5</v>
      </c>
      <c r="G43">
        <v>115.1</v>
      </c>
      <c r="H43">
        <v>106.6</v>
      </c>
      <c r="I43">
        <v>115.4</v>
      </c>
      <c r="J43">
        <v>114.5</v>
      </c>
      <c r="K43">
        <v>109.3</v>
      </c>
      <c r="L43">
        <v>99.2</v>
      </c>
      <c r="M43">
        <v>111.4</v>
      </c>
      <c r="N43">
        <v>112.6</v>
      </c>
      <c r="O43">
        <v>118.8</v>
      </c>
      <c r="R43">
        <v>115.3</v>
      </c>
      <c r="S43">
        <v>114.7</v>
      </c>
      <c r="T43">
        <v>116.4</v>
      </c>
      <c r="U43">
        <v>113.3</v>
      </c>
      <c r="V43">
        <v>115.9</v>
      </c>
      <c r="W43">
        <v>112.5</v>
      </c>
      <c r="X43">
        <v>112.4</v>
      </c>
      <c r="Y43">
        <v>112.8</v>
      </c>
      <c r="Z43">
        <v>110.7</v>
      </c>
      <c r="AA43">
        <v>111.1</v>
      </c>
      <c r="AB43">
        <v>110.1</v>
      </c>
      <c r="AC43">
        <v>111.8</v>
      </c>
      <c r="AD43">
        <v>108.7</v>
      </c>
      <c r="AE43">
        <v>110.9</v>
      </c>
      <c r="AF43">
        <v>113.6</v>
      </c>
    </row>
    <row r="44" spans="1:32" hidden="1" x14ac:dyDescent="0.3">
      <c r="A44" t="s">
        <v>30</v>
      </c>
      <c r="B44">
        <v>2014</v>
      </c>
      <c r="C44" t="s">
        <v>36</v>
      </c>
      <c r="D44">
        <v>120.1</v>
      </c>
      <c r="E44">
        <v>118.1</v>
      </c>
      <c r="F44">
        <v>120.7</v>
      </c>
      <c r="G44">
        <v>116.1</v>
      </c>
      <c r="H44">
        <v>109.3</v>
      </c>
      <c r="I44">
        <v>119.6</v>
      </c>
      <c r="J44">
        <v>117.9</v>
      </c>
      <c r="K44">
        <v>110.2</v>
      </c>
      <c r="L44">
        <v>101.2</v>
      </c>
      <c r="M44">
        <v>110.7</v>
      </c>
      <c r="N44">
        <v>113</v>
      </c>
      <c r="O44">
        <v>118.3</v>
      </c>
      <c r="R44">
        <v>116.2</v>
      </c>
      <c r="S44">
        <v>114.6</v>
      </c>
      <c r="T44">
        <v>117.5</v>
      </c>
      <c r="U44">
        <v>114.9</v>
      </c>
      <c r="V44">
        <v>117.2</v>
      </c>
      <c r="W44" t="s">
        <v>32</v>
      </c>
      <c r="X44">
        <v>113.4</v>
      </c>
      <c r="Y44">
        <v>113.4</v>
      </c>
      <c r="Z44">
        <v>111.4</v>
      </c>
      <c r="AA44">
        <v>111.2</v>
      </c>
      <c r="AB44">
        <v>110.2</v>
      </c>
      <c r="AC44">
        <v>112.4</v>
      </c>
      <c r="AD44">
        <v>108.9</v>
      </c>
      <c r="AE44">
        <v>111.3</v>
      </c>
      <c r="AF44">
        <v>114.6</v>
      </c>
    </row>
    <row r="45" spans="1:32" hidden="1" x14ac:dyDescent="0.3">
      <c r="A45" t="s">
        <v>33</v>
      </c>
      <c r="B45">
        <v>2014</v>
      </c>
      <c r="C45" t="s">
        <v>36</v>
      </c>
      <c r="D45">
        <v>122.1</v>
      </c>
      <c r="E45">
        <v>121.4</v>
      </c>
      <c r="F45">
        <v>121.5</v>
      </c>
      <c r="G45">
        <v>116.2</v>
      </c>
      <c r="H45">
        <v>102.8</v>
      </c>
      <c r="I45">
        <v>117.7</v>
      </c>
      <c r="J45">
        <v>113.3</v>
      </c>
      <c r="K45">
        <v>108.9</v>
      </c>
      <c r="L45">
        <v>96.3</v>
      </c>
      <c r="M45">
        <v>114.1</v>
      </c>
      <c r="N45">
        <v>112.2</v>
      </c>
      <c r="O45">
        <v>120.5</v>
      </c>
      <c r="R45">
        <v>116</v>
      </c>
      <c r="S45">
        <v>116.7</v>
      </c>
      <c r="T45">
        <v>115.8</v>
      </c>
      <c r="U45">
        <v>112.1</v>
      </c>
      <c r="V45">
        <v>115.2</v>
      </c>
      <c r="W45">
        <v>113.2</v>
      </c>
      <c r="X45">
        <v>110.9</v>
      </c>
      <c r="Y45">
        <v>113</v>
      </c>
      <c r="Z45">
        <v>110.8</v>
      </c>
      <c r="AA45">
        <v>111.6</v>
      </c>
      <c r="AB45">
        <v>110.9</v>
      </c>
      <c r="AC45">
        <v>111.8</v>
      </c>
      <c r="AD45">
        <v>109.2</v>
      </c>
      <c r="AE45">
        <v>111.4</v>
      </c>
      <c r="AF45">
        <v>113.7</v>
      </c>
    </row>
    <row r="46" spans="1:32" hidden="1" x14ac:dyDescent="0.3">
      <c r="A46" t="s">
        <v>34</v>
      </c>
      <c r="B46">
        <v>2014</v>
      </c>
      <c r="C46" t="s">
        <v>47</v>
      </c>
      <c r="D46">
        <v>120.7</v>
      </c>
      <c r="E46">
        <v>119.3</v>
      </c>
      <c r="F46">
        <v>121</v>
      </c>
      <c r="G46">
        <v>116.1</v>
      </c>
      <c r="H46">
        <v>106.9</v>
      </c>
      <c r="I46">
        <v>118.7</v>
      </c>
      <c r="J46">
        <v>116.3</v>
      </c>
      <c r="K46">
        <v>109.8</v>
      </c>
      <c r="L46">
        <v>99.6</v>
      </c>
      <c r="M46">
        <v>111.8</v>
      </c>
      <c r="N46">
        <v>112.7</v>
      </c>
      <c r="O46">
        <v>119.3</v>
      </c>
      <c r="R46">
        <v>116.1</v>
      </c>
      <c r="S46">
        <v>115.2</v>
      </c>
      <c r="T46">
        <v>116.8</v>
      </c>
      <c r="U46">
        <v>113.7</v>
      </c>
      <c r="V46">
        <v>116.4</v>
      </c>
      <c r="W46">
        <v>113.2</v>
      </c>
      <c r="X46">
        <v>112.5</v>
      </c>
      <c r="Y46">
        <v>113.2</v>
      </c>
      <c r="Z46">
        <v>111.2</v>
      </c>
      <c r="AA46">
        <v>111.4</v>
      </c>
      <c r="AB46">
        <v>110.6</v>
      </c>
      <c r="AC46">
        <v>112</v>
      </c>
      <c r="AD46">
        <v>109</v>
      </c>
      <c r="AE46">
        <v>111.3</v>
      </c>
      <c r="AF46">
        <v>114.2</v>
      </c>
    </row>
    <row r="47" spans="1:32" hidden="1" x14ac:dyDescent="0.3">
      <c r="A47" t="s">
        <v>30</v>
      </c>
      <c r="B47">
        <v>2014</v>
      </c>
      <c r="C47" t="s">
        <v>37</v>
      </c>
      <c r="D47">
        <v>120.2</v>
      </c>
      <c r="E47">
        <v>118.9</v>
      </c>
      <c r="F47">
        <v>118.1</v>
      </c>
      <c r="G47">
        <v>117</v>
      </c>
      <c r="H47">
        <v>109.7</v>
      </c>
      <c r="I47">
        <v>125.5</v>
      </c>
      <c r="J47">
        <v>120.5</v>
      </c>
      <c r="K47">
        <v>111</v>
      </c>
      <c r="L47">
        <v>102.6</v>
      </c>
      <c r="M47">
        <v>111.2</v>
      </c>
      <c r="N47">
        <v>113.5</v>
      </c>
      <c r="O47">
        <v>118.7</v>
      </c>
      <c r="R47">
        <v>117.2</v>
      </c>
      <c r="S47">
        <v>115.4</v>
      </c>
      <c r="T47">
        <v>118.1</v>
      </c>
      <c r="U47">
        <v>116.1</v>
      </c>
      <c r="V47">
        <v>117.8</v>
      </c>
      <c r="W47" t="s">
        <v>32</v>
      </c>
      <c r="X47">
        <v>113.4</v>
      </c>
      <c r="Y47">
        <v>113.7</v>
      </c>
      <c r="Z47">
        <v>111.8</v>
      </c>
      <c r="AA47">
        <v>111.2</v>
      </c>
      <c r="AB47">
        <v>110.5</v>
      </c>
      <c r="AC47">
        <v>113</v>
      </c>
      <c r="AD47">
        <v>108.9</v>
      </c>
      <c r="AE47">
        <v>111.5</v>
      </c>
      <c r="AF47">
        <v>115.4</v>
      </c>
    </row>
    <row r="48" spans="1:32" hidden="1" x14ac:dyDescent="0.3">
      <c r="A48" t="s">
        <v>33</v>
      </c>
      <c r="B48">
        <v>2014</v>
      </c>
      <c r="C48" t="s">
        <v>37</v>
      </c>
      <c r="D48">
        <v>122.5</v>
      </c>
      <c r="E48">
        <v>121.7</v>
      </c>
      <c r="F48">
        <v>113.3</v>
      </c>
      <c r="G48">
        <v>117</v>
      </c>
      <c r="H48">
        <v>103.1</v>
      </c>
      <c r="I48">
        <v>126.7</v>
      </c>
      <c r="J48">
        <v>121.2</v>
      </c>
      <c r="K48">
        <v>111</v>
      </c>
      <c r="L48">
        <v>100.3</v>
      </c>
      <c r="M48">
        <v>115.3</v>
      </c>
      <c r="N48">
        <v>112.7</v>
      </c>
      <c r="O48">
        <v>121</v>
      </c>
      <c r="R48">
        <v>118.2</v>
      </c>
      <c r="S48">
        <v>117.6</v>
      </c>
      <c r="T48">
        <v>116.3</v>
      </c>
      <c r="U48">
        <v>112.5</v>
      </c>
      <c r="V48">
        <v>115.7</v>
      </c>
      <c r="W48">
        <v>113.9</v>
      </c>
      <c r="X48">
        <v>110.9</v>
      </c>
      <c r="Y48">
        <v>113.4</v>
      </c>
      <c r="Z48">
        <v>111</v>
      </c>
      <c r="AA48">
        <v>111.2</v>
      </c>
      <c r="AB48">
        <v>111.2</v>
      </c>
      <c r="AC48">
        <v>112.5</v>
      </c>
      <c r="AD48">
        <v>109.1</v>
      </c>
      <c r="AE48">
        <v>111.4</v>
      </c>
      <c r="AF48">
        <v>114.7</v>
      </c>
    </row>
    <row r="49" spans="1:32" hidden="1" x14ac:dyDescent="0.3">
      <c r="A49" t="s">
        <v>34</v>
      </c>
      <c r="B49">
        <v>2014</v>
      </c>
      <c r="C49" t="s">
        <v>37</v>
      </c>
      <c r="D49">
        <v>120.9</v>
      </c>
      <c r="E49">
        <v>119.9</v>
      </c>
      <c r="F49">
        <v>116.2</v>
      </c>
      <c r="G49">
        <v>117</v>
      </c>
      <c r="H49">
        <v>107.3</v>
      </c>
      <c r="I49">
        <v>126.1</v>
      </c>
      <c r="J49">
        <v>120.7</v>
      </c>
      <c r="K49">
        <v>111</v>
      </c>
      <c r="L49">
        <v>101.8</v>
      </c>
      <c r="M49">
        <v>112.6</v>
      </c>
      <c r="N49">
        <v>113.2</v>
      </c>
      <c r="O49">
        <v>119.8</v>
      </c>
      <c r="R49">
        <v>117.6</v>
      </c>
      <c r="S49">
        <v>116</v>
      </c>
      <c r="T49">
        <v>117.4</v>
      </c>
      <c r="U49">
        <v>114.6</v>
      </c>
      <c r="V49">
        <v>117</v>
      </c>
      <c r="W49">
        <v>113.9</v>
      </c>
      <c r="X49">
        <v>112.5</v>
      </c>
      <c r="Y49">
        <v>113.6</v>
      </c>
      <c r="Z49">
        <v>111.5</v>
      </c>
      <c r="AA49">
        <v>111.2</v>
      </c>
      <c r="AB49">
        <v>110.9</v>
      </c>
      <c r="AC49">
        <v>112.7</v>
      </c>
      <c r="AD49">
        <v>109</v>
      </c>
      <c r="AE49">
        <v>111.5</v>
      </c>
      <c r="AF49">
        <v>115.1</v>
      </c>
    </row>
    <row r="50" spans="1:32" hidden="1" x14ac:dyDescent="0.3">
      <c r="A50" t="s">
        <v>30</v>
      </c>
      <c r="B50">
        <v>2014</v>
      </c>
      <c r="C50" t="s">
        <v>38</v>
      </c>
      <c r="D50">
        <v>120.3</v>
      </c>
      <c r="E50">
        <v>120.2</v>
      </c>
      <c r="F50">
        <v>116.9</v>
      </c>
      <c r="G50">
        <v>118</v>
      </c>
      <c r="H50">
        <v>110.1</v>
      </c>
      <c r="I50">
        <v>126.3</v>
      </c>
      <c r="J50">
        <v>123.9</v>
      </c>
      <c r="K50">
        <v>111.5</v>
      </c>
      <c r="L50">
        <v>103.5</v>
      </c>
      <c r="M50">
        <v>111.6</v>
      </c>
      <c r="N50">
        <v>114.2</v>
      </c>
      <c r="O50">
        <v>119.2</v>
      </c>
      <c r="R50">
        <v>118.2</v>
      </c>
      <c r="S50">
        <v>116.3</v>
      </c>
      <c r="T50">
        <v>118.7</v>
      </c>
      <c r="U50">
        <v>116.8</v>
      </c>
      <c r="V50">
        <v>118.5</v>
      </c>
      <c r="W50" t="s">
        <v>32</v>
      </c>
      <c r="X50">
        <v>113.4</v>
      </c>
      <c r="Y50">
        <v>114.1</v>
      </c>
      <c r="Z50">
        <v>112.1</v>
      </c>
      <c r="AA50">
        <v>111.4</v>
      </c>
      <c r="AB50">
        <v>110.9</v>
      </c>
      <c r="AC50">
        <v>113.1</v>
      </c>
      <c r="AD50">
        <v>108.9</v>
      </c>
      <c r="AE50">
        <v>111.8</v>
      </c>
      <c r="AF50">
        <v>116</v>
      </c>
    </row>
    <row r="51" spans="1:32"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R51">
        <v>120</v>
      </c>
      <c r="S51">
        <v>118.3</v>
      </c>
      <c r="T51">
        <v>116.8</v>
      </c>
      <c r="U51">
        <v>112.9</v>
      </c>
      <c r="V51">
        <v>116.2</v>
      </c>
      <c r="W51">
        <v>114.3</v>
      </c>
      <c r="X51">
        <v>111.1</v>
      </c>
      <c r="Y51">
        <v>114.1</v>
      </c>
      <c r="Z51">
        <v>111.2</v>
      </c>
      <c r="AA51">
        <v>111.3</v>
      </c>
      <c r="AB51">
        <v>111.5</v>
      </c>
      <c r="AC51">
        <v>112.9</v>
      </c>
      <c r="AD51">
        <v>109.3</v>
      </c>
      <c r="AE51">
        <v>111.7</v>
      </c>
      <c r="AF51">
        <v>115.6</v>
      </c>
    </row>
    <row r="52" spans="1:32" hidden="1" x14ac:dyDescent="0.3">
      <c r="A52" t="s">
        <v>34</v>
      </c>
      <c r="B52">
        <v>2014</v>
      </c>
      <c r="C52" t="s">
        <v>38</v>
      </c>
      <c r="D52">
        <v>121.1</v>
      </c>
      <c r="E52">
        <v>121.6</v>
      </c>
      <c r="F52">
        <v>115.9</v>
      </c>
      <c r="G52">
        <v>118.4</v>
      </c>
      <c r="H52">
        <v>107.7</v>
      </c>
      <c r="I52">
        <v>127.7</v>
      </c>
      <c r="J52">
        <v>125</v>
      </c>
      <c r="K52">
        <v>111.9</v>
      </c>
      <c r="L52">
        <v>102.8</v>
      </c>
      <c r="M52">
        <v>113.4</v>
      </c>
      <c r="N52">
        <v>113.7</v>
      </c>
      <c r="O52">
        <v>120.4</v>
      </c>
      <c r="R52">
        <v>118.9</v>
      </c>
      <c r="S52">
        <v>116.8</v>
      </c>
      <c r="T52">
        <v>118</v>
      </c>
      <c r="U52">
        <v>115.2</v>
      </c>
      <c r="V52">
        <v>117.6</v>
      </c>
      <c r="W52">
        <v>114.3</v>
      </c>
      <c r="X52">
        <v>112.5</v>
      </c>
      <c r="Y52">
        <v>114.1</v>
      </c>
      <c r="Z52">
        <v>111.8</v>
      </c>
      <c r="AA52">
        <v>111.3</v>
      </c>
      <c r="AB52">
        <v>111.2</v>
      </c>
      <c r="AC52">
        <v>113</v>
      </c>
      <c r="AD52">
        <v>109.1</v>
      </c>
      <c r="AE52">
        <v>111.8</v>
      </c>
      <c r="AF52">
        <v>115.8</v>
      </c>
    </row>
    <row r="53" spans="1:32"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R53">
        <v>119.5</v>
      </c>
      <c r="S53">
        <v>117.3</v>
      </c>
      <c r="T53">
        <v>119.7</v>
      </c>
      <c r="U53">
        <v>117.3</v>
      </c>
      <c r="V53">
        <v>119.3</v>
      </c>
      <c r="W53" t="s">
        <v>32</v>
      </c>
      <c r="X53">
        <v>114.4</v>
      </c>
      <c r="Y53">
        <v>114.9</v>
      </c>
      <c r="Z53">
        <v>112.8</v>
      </c>
      <c r="AA53">
        <v>112.2</v>
      </c>
      <c r="AB53">
        <v>111.4</v>
      </c>
      <c r="AC53">
        <v>114.3</v>
      </c>
      <c r="AD53">
        <v>108</v>
      </c>
      <c r="AE53">
        <v>112.3</v>
      </c>
      <c r="AF53">
        <v>117</v>
      </c>
    </row>
    <row r="54" spans="1:32"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R54">
        <v>122</v>
      </c>
      <c r="S54">
        <v>119</v>
      </c>
      <c r="T54">
        <v>117.4</v>
      </c>
      <c r="U54">
        <v>113.2</v>
      </c>
      <c r="V54">
        <v>116.7</v>
      </c>
      <c r="W54">
        <v>113.9</v>
      </c>
      <c r="X54">
        <v>111.2</v>
      </c>
      <c r="Y54">
        <v>114.3</v>
      </c>
      <c r="Z54">
        <v>111.4</v>
      </c>
      <c r="AA54">
        <v>111.5</v>
      </c>
      <c r="AB54">
        <v>111.8</v>
      </c>
      <c r="AC54">
        <v>115.1</v>
      </c>
      <c r="AD54">
        <v>108.7</v>
      </c>
      <c r="AE54">
        <v>112.2</v>
      </c>
      <c r="AF54">
        <v>116.4</v>
      </c>
    </row>
    <row r="55" spans="1:32"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R55">
        <v>120.4</v>
      </c>
      <c r="S55">
        <v>117.8</v>
      </c>
      <c r="T55">
        <v>118.8</v>
      </c>
      <c r="U55">
        <v>115.6</v>
      </c>
      <c r="V55">
        <v>118.3</v>
      </c>
      <c r="W55">
        <v>113.9</v>
      </c>
      <c r="X55">
        <v>113.2</v>
      </c>
      <c r="Y55">
        <v>114.6</v>
      </c>
      <c r="Z55">
        <v>112.3</v>
      </c>
      <c r="AA55">
        <v>111.8</v>
      </c>
      <c r="AB55">
        <v>111.6</v>
      </c>
      <c r="AC55">
        <v>114.8</v>
      </c>
      <c r="AD55">
        <v>108.3</v>
      </c>
      <c r="AE55">
        <v>112.3</v>
      </c>
      <c r="AF55">
        <v>116.7</v>
      </c>
    </row>
    <row r="56" spans="1:32" hidden="1" x14ac:dyDescent="0.3">
      <c r="A56" t="s">
        <v>30</v>
      </c>
      <c r="B56">
        <v>2014</v>
      </c>
      <c r="C56" t="s">
        <v>40</v>
      </c>
      <c r="D56">
        <v>121.7</v>
      </c>
      <c r="E56">
        <v>122.5</v>
      </c>
      <c r="F56">
        <v>117.7</v>
      </c>
      <c r="G56">
        <v>120.6</v>
      </c>
      <c r="H56">
        <v>110.4</v>
      </c>
      <c r="I56">
        <v>129.1</v>
      </c>
      <c r="J56">
        <v>150.1</v>
      </c>
      <c r="K56">
        <v>113.2</v>
      </c>
      <c r="L56">
        <v>104.8</v>
      </c>
      <c r="M56">
        <v>113.3</v>
      </c>
      <c r="N56">
        <v>115.6</v>
      </c>
      <c r="O56">
        <v>120.9</v>
      </c>
      <c r="R56">
        <v>123.3</v>
      </c>
      <c r="S56">
        <v>118</v>
      </c>
      <c r="T56">
        <v>120.7</v>
      </c>
      <c r="U56">
        <v>118.3</v>
      </c>
      <c r="V56">
        <v>120.3</v>
      </c>
      <c r="W56" t="s">
        <v>32</v>
      </c>
      <c r="X56">
        <v>115.3</v>
      </c>
      <c r="Y56">
        <v>115.4</v>
      </c>
      <c r="Z56">
        <v>113.4</v>
      </c>
      <c r="AA56">
        <v>113.2</v>
      </c>
      <c r="AB56">
        <v>111.8</v>
      </c>
      <c r="AC56">
        <v>115.5</v>
      </c>
      <c r="AD56">
        <v>108.8</v>
      </c>
      <c r="AE56">
        <v>113.1</v>
      </c>
      <c r="AF56">
        <v>119.5</v>
      </c>
    </row>
    <row r="57" spans="1:32"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R57">
        <v>127.1</v>
      </c>
      <c r="S57">
        <v>121</v>
      </c>
      <c r="T57">
        <v>118</v>
      </c>
      <c r="U57">
        <v>113.6</v>
      </c>
      <c r="V57">
        <v>117.4</v>
      </c>
      <c r="W57">
        <v>114.8</v>
      </c>
      <c r="X57">
        <v>111.6</v>
      </c>
      <c r="Y57">
        <v>114.9</v>
      </c>
      <c r="Z57">
        <v>111.5</v>
      </c>
      <c r="AA57">
        <v>113</v>
      </c>
      <c r="AB57">
        <v>112.4</v>
      </c>
      <c r="AC57">
        <v>117.8</v>
      </c>
      <c r="AD57">
        <v>109.7</v>
      </c>
      <c r="AE57">
        <v>113.5</v>
      </c>
      <c r="AF57">
        <v>118.9</v>
      </c>
    </row>
    <row r="58" spans="1:32"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R58">
        <v>124.7</v>
      </c>
      <c r="S58">
        <v>118.8</v>
      </c>
      <c r="T58">
        <v>119.6</v>
      </c>
      <c r="U58">
        <v>116.3</v>
      </c>
      <c r="V58">
        <v>119.1</v>
      </c>
      <c r="W58">
        <v>114.8</v>
      </c>
      <c r="X58">
        <v>113.9</v>
      </c>
      <c r="Y58">
        <v>115.2</v>
      </c>
      <c r="Z58">
        <v>112.7</v>
      </c>
      <c r="AA58">
        <v>113.1</v>
      </c>
      <c r="AB58">
        <v>112.1</v>
      </c>
      <c r="AC58">
        <v>116.8</v>
      </c>
      <c r="AD58">
        <v>109.2</v>
      </c>
      <c r="AE58">
        <v>113.3</v>
      </c>
      <c r="AF58">
        <v>119.2</v>
      </c>
    </row>
    <row r="59" spans="1:32"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R59">
        <v>125.3</v>
      </c>
      <c r="S59">
        <v>118.8</v>
      </c>
      <c r="T59">
        <v>120.9</v>
      </c>
      <c r="U59">
        <v>118.8</v>
      </c>
      <c r="V59">
        <v>120.7</v>
      </c>
      <c r="W59" t="s">
        <v>32</v>
      </c>
      <c r="X59">
        <v>115.4</v>
      </c>
      <c r="Y59">
        <v>115.9</v>
      </c>
      <c r="Z59">
        <v>114</v>
      </c>
      <c r="AA59">
        <v>113.2</v>
      </c>
      <c r="AB59">
        <v>112.2</v>
      </c>
      <c r="AC59">
        <v>116.2</v>
      </c>
      <c r="AD59">
        <v>109.4</v>
      </c>
      <c r="AE59">
        <v>113.5</v>
      </c>
      <c r="AF59">
        <v>120.7</v>
      </c>
    </row>
    <row r="60" spans="1:32"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R60">
        <v>128.9</v>
      </c>
      <c r="S60">
        <v>123</v>
      </c>
      <c r="T60">
        <v>118.6</v>
      </c>
      <c r="U60">
        <v>114.1</v>
      </c>
      <c r="V60">
        <v>117.9</v>
      </c>
      <c r="W60">
        <v>115.5</v>
      </c>
      <c r="X60">
        <v>111.8</v>
      </c>
      <c r="Y60">
        <v>115.3</v>
      </c>
      <c r="Z60">
        <v>112.2</v>
      </c>
      <c r="AA60">
        <v>112.5</v>
      </c>
      <c r="AB60">
        <v>112.9</v>
      </c>
      <c r="AC60">
        <v>119.2</v>
      </c>
      <c r="AD60">
        <v>110.5</v>
      </c>
      <c r="AE60">
        <v>113.9</v>
      </c>
      <c r="AF60">
        <v>119.9</v>
      </c>
    </row>
    <row r="61" spans="1:32" hidden="1" x14ac:dyDescent="0.3">
      <c r="A61" t="s">
        <v>34</v>
      </c>
      <c r="B61">
        <v>2014</v>
      </c>
      <c r="C61" t="s">
        <v>41</v>
      </c>
      <c r="D61">
        <v>122.7</v>
      </c>
      <c r="E61">
        <v>124.4</v>
      </c>
      <c r="F61">
        <v>117.3</v>
      </c>
      <c r="G61">
        <v>122</v>
      </c>
      <c r="H61">
        <v>108</v>
      </c>
      <c r="I61">
        <v>131.1</v>
      </c>
      <c r="J61">
        <v>168.2</v>
      </c>
      <c r="K61">
        <v>114.5</v>
      </c>
      <c r="L61">
        <v>104.3</v>
      </c>
      <c r="M61">
        <v>117.1</v>
      </c>
      <c r="N61">
        <v>115.2</v>
      </c>
      <c r="O61">
        <v>123.1</v>
      </c>
      <c r="R61">
        <v>126.6</v>
      </c>
      <c r="S61">
        <v>119.9</v>
      </c>
      <c r="T61">
        <v>120</v>
      </c>
      <c r="U61">
        <v>116.8</v>
      </c>
      <c r="V61">
        <v>119.6</v>
      </c>
      <c r="W61">
        <v>115.5</v>
      </c>
      <c r="X61">
        <v>114</v>
      </c>
      <c r="Y61">
        <v>115.6</v>
      </c>
      <c r="Z61">
        <v>113.3</v>
      </c>
      <c r="AA61">
        <v>112.8</v>
      </c>
      <c r="AB61">
        <v>112.6</v>
      </c>
      <c r="AC61">
        <v>118</v>
      </c>
      <c r="AD61">
        <v>109.9</v>
      </c>
      <c r="AE61">
        <v>113.7</v>
      </c>
      <c r="AF61">
        <v>120.3</v>
      </c>
    </row>
    <row r="62" spans="1:32"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R62">
        <v>125.3</v>
      </c>
      <c r="S62">
        <v>119.5</v>
      </c>
      <c r="T62">
        <v>121.7</v>
      </c>
      <c r="U62">
        <v>119.2</v>
      </c>
      <c r="V62">
        <v>121.3</v>
      </c>
      <c r="W62" t="s">
        <v>32</v>
      </c>
      <c r="X62">
        <v>115.8</v>
      </c>
      <c r="Y62">
        <v>116.7</v>
      </c>
      <c r="Z62">
        <v>114.5</v>
      </c>
      <c r="AA62">
        <v>112.8</v>
      </c>
      <c r="AB62">
        <v>112.6</v>
      </c>
      <c r="AC62">
        <v>116.6</v>
      </c>
      <c r="AD62">
        <v>109.1</v>
      </c>
      <c r="AE62">
        <v>113.7</v>
      </c>
      <c r="AF62">
        <v>120.9</v>
      </c>
    </row>
    <row r="63" spans="1:32" hidden="1" x14ac:dyDescent="0.3">
      <c r="A63" t="s">
        <v>33</v>
      </c>
      <c r="B63">
        <v>2014</v>
      </c>
      <c r="C63" t="s">
        <v>42</v>
      </c>
      <c r="D63">
        <v>124.2</v>
      </c>
      <c r="E63">
        <v>125.4</v>
      </c>
      <c r="F63">
        <v>116.4</v>
      </c>
      <c r="G63">
        <v>122.7</v>
      </c>
      <c r="H63">
        <v>103.5</v>
      </c>
      <c r="I63">
        <v>124.5</v>
      </c>
      <c r="J63">
        <v>168.6</v>
      </c>
      <c r="K63">
        <v>116.9</v>
      </c>
      <c r="L63">
        <v>101.9</v>
      </c>
      <c r="M63">
        <v>122.9</v>
      </c>
      <c r="N63">
        <v>114.8</v>
      </c>
      <c r="O63">
        <v>125.2</v>
      </c>
      <c r="R63">
        <v>126.7</v>
      </c>
      <c r="S63">
        <v>124.3</v>
      </c>
      <c r="T63">
        <v>119.2</v>
      </c>
      <c r="U63">
        <v>114.5</v>
      </c>
      <c r="V63">
        <v>118.4</v>
      </c>
      <c r="W63">
        <v>116.1</v>
      </c>
      <c r="X63">
        <v>111.8</v>
      </c>
      <c r="Y63">
        <v>115.5</v>
      </c>
      <c r="Z63">
        <v>112.3</v>
      </c>
      <c r="AA63">
        <v>111.2</v>
      </c>
      <c r="AB63">
        <v>113.4</v>
      </c>
      <c r="AC63">
        <v>120</v>
      </c>
      <c r="AD63">
        <v>110</v>
      </c>
      <c r="AE63">
        <v>113.6</v>
      </c>
      <c r="AF63">
        <v>119.2</v>
      </c>
    </row>
    <row r="64" spans="1:32" hidden="1" x14ac:dyDescent="0.3">
      <c r="A64" t="s">
        <v>34</v>
      </c>
      <c r="B64">
        <v>2014</v>
      </c>
      <c r="C64" t="s">
        <v>42</v>
      </c>
      <c r="D64">
        <v>122.9</v>
      </c>
      <c r="E64">
        <v>123.5</v>
      </c>
      <c r="F64">
        <v>117.3</v>
      </c>
      <c r="G64">
        <v>122.7</v>
      </c>
      <c r="H64">
        <v>107.9</v>
      </c>
      <c r="I64">
        <v>127.3</v>
      </c>
      <c r="J64">
        <v>162.1</v>
      </c>
      <c r="K64">
        <v>115.6</v>
      </c>
      <c r="L64">
        <v>103.8</v>
      </c>
      <c r="M64">
        <v>117.6</v>
      </c>
      <c r="N64">
        <v>115.8</v>
      </c>
      <c r="O64">
        <v>123.8</v>
      </c>
      <c r="R64">
        <v>125.8</v>
      </c>
      <c r="S64">
        <v>120.8</v>
      </c>
      <c r="T64">
        <v>120.7</v>
      </c>
      <c r="U64">
        <v>117.2</v>
      </c>
      <c r="V64">
        <v>120.1</v>
      </c>
      <c r="W64">
        <v>116.1</v>
      </c>
      <c r="X64">
        <v>114.3</v>
      </c>
      <c r="Y64">
        <v>116.1</v>
      </c>
      <c r="Z64">
        <v>113.7</v>
      </c>
      <c r="AA64">
        <v>112</v>
      </c>
      <c r="AB64">
        <v>113.1</v>
      </c>
      <c r="AC64">
        <v>118.6</v>
      </c>
      <c r="AD64">
        <v>109.5</v>
      </c>
      <c r="AE64">
        <v>113.7</v>
      </c>
      <c r="AF64">
        <v>120.1</v>
      </c>
    </row>
    <row r="65" spans="1:32"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R65">
        <v>125.1</v>
      </c>
      <c r="S65">
        <v>120</v>
      </c>
      <c r="T65">
        <v>122.7</v>
      </c>
      <c r="U65">
        <v>120.3</v>
      </c>
      <c r="V65">
        <v>122.3</v>
      </c>
      <c r="W65" t="s">
        <v>32</v>
      </c>
      <c r="X65">
        <v>116.4</v>
      </c>
      <c r="Y65">
        <v>117.5</v>
      </c>
      <c r="Z65">
        <v>115.3</v>
      </c>
      <c r="AA65">
        <v>112.6</v>
      </c>
      <c r="AB65">
        <v>113</v>
      </c>
      <c r="AC65">
        <v>116.9</v>
      </c>
      <c r="AD65">
        <v>109.3</v>
      </c>
      <c r="AE65">
        <v>114</v>
      </c>
      <c r="AF65">
        <v>121</v>
      </c>
    </row>
    <row r="66" spans="1:32" hidden="1" x14ac:dyDescent="0.3">
      <c r="A66" t="s">
        <v>33</v>
      </c>
      <c r="B66">
        <v>2014</v>
      </c>
      <c r="C66" t="s">
        <v>43</v>
      </c>
      <c r="D66">
        <v>124.6</v>
      </c>
      <c r="E66">
        <v>126.1</v>
      </c>
      <c r="F66">
        <v>117.8</v>
      </c>
      <c r="G66">
        <v>123.1</v>
      </c>
      <c r="H66">
        <v>103.5</v>
      </c>
      <c r="I66">
        <v>123.5</v>
      </c>
      <c r="J66">
        <v>159.6</v>
      </c>
      <c r="K66">
        <v>117.4</v>
      </c>
      <c r="L66">
        <v>101.2</v>
      </c>
      <c r="M66">
        <v>123.8</v>
      </c>
      <c r="N66">
        <v>115.2</v>
      </c>
      <c r="O66">
        <v>125.9</v>
      </c>
      <c r="R66">
        <v>125.8</v>
      </c>
      <c r="S66">
        <v>124.3</v>
      </c>
      <c r="T66">
        <v>119.6</v>
      </c>
      <c r="U66">
        <v>114.9</v>
      </c>
      <c r="V66">
        <v>118.9</v>
      </c>
      <c r="W66">
        <v>116.7</v>
      </c>
      <c r="X66">
        <v>112</v>
      </c>
      <c r="Y66">
        <v>115.8</v>
      </c>
      <c r="Z66">
        <v>112.6</v>
      </c>
      <c r="AA66">
        <v>111</v>
      </c>
      <c r="AB66">
        <v>113.6</v>
      </c>
      <c r="AC66">
        <v>120.2</v>
      </c>
      <c r="AD66">
        <v>110.1</v>
      </c>
      <c r="AE66">
        <v>113.7</v>
      </c>
      <c r="AF66">
        <v>119.1</v>
      </c>
    </row>
    <row r="67" spans="1:32"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R67">
        <v>125.4</v>
      </c>
      <c r="S67">
        <v>121.1</v>
      </c>
      <c r="T67">
        <v>121.5</v>
      </c>
      <c r="U67">
        <v>118.1</v>
      </c>
      <c r="V67">
        <v>121</v>
      </c>
      <c r="W67">
        <v>116.7</v>
      </c>
      <c r="X67">
        <v>114.7</v>
      </c>
      <c r="Y67">
        <v>116.7</v>
      </c>
      <c r="Z67">
        <v>114.3</v>
      </c>
      <c r="AA67">
        <v>111.8</v>
      </c>
      <c r="AB67">
        <v>113.3</v>
      </c>
      <c r="AC67">
        <v>118.8</v>
      </c>
      <c r="AD67">
        <v>109.6</v>
      </c>
      <c r="AE67">
        <v>113.9</v>
      </c>
      <c r="AF67">
        <v>120.1</v>
      </c>
    </row>
    <row r="68" spans="1:32"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R68">
        <v>124.9</v>
      </c>
      <c r="S68">
        <v>120.8</v>
      </c>
      <c r="T68">
        <v>123.3</v>
      </c>
      <c r="U68">
        <v>120.5</v>
      </c>
      <c r="V68">
        <v>122.9</v>
      </c>
      <c r="W68" t="s">
        <v>32</v>
      </c>
      <c r="X68">
        <v>117.3</v>
      </c>
      <c r="Y68">
        <v>118.1</v>
      </c>
      <c r="Z68">
        <v>115.9</v>
      </c>
      <c r="AA68">
        <v>112</v>
      </c>
      <c r="AB68">
        <v>113.3</v>
      </c>
      <c r="AC68">
        <v>117.2</v>
      </c>
      <c r="AD68">
        <v>108.8</v>
      </c>
      <c r="AE68">
        <v>114.1</v>
      </c>
      <c r="AF68">
        <v>121.1</v>
      </c>
    </row>
    <row r="69" spans="1:32"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R69">
        <v>125.4</v>
      </c>
      <c r="S69">
        <v>125.8</v>
      </c>
      <c r="T69">
        <v>120.3</v>
      </c>
      <c r="U69">
        <v>115.4</v>
      </c>
      <c r="V69">
        <v>119.5</v>
      </c>
      <c r="W69">
        <v>117.1</v>
      </c>
      <c r="X69">
        <v>112.6</v>
      </c>
      <c r="Y69">
        <v>116.4</v>
      </c>
      <c r="Z69">
        <v>113</v>
      </c>
      <c r="AA69">
        <v>109.7</v>
      </c>
      <c r="AB69">
        <v>114</v>
      </c>
      <c r="AC69">
        <v>120.3</v>
      </c>
      <c r="AD69">
        <v>109.6</v>
      </c>
      <c r="AE69">
        <v>113.4</v>
      </c>
      <c r="AF69">
        <v>119</v>
      </c>
    </row>
    <row r="70" spans="1:32" hidden="1" x14ac:dyDescent="0.3">
      <c r="A70" t="s">
        <v>34</v>
      </c>
      <c r="B70">
        <v>2014</v>
      </c>
      <c r="C70" t="s">
        <v>45</v>
      </c>
      <c r="D70">
        <v>123.3</v>
      </c>
      <c r="E70">
        <v>123.7</v>
      </c>
      <c r="F70">
        <v>121</v>
      </c>
      <c r="G70">
        <v>124.2</v>
      </c>
      <c r="H70">
        <v>107.8</v>
      </c>
      <c r="I70">
        <v>125.7</v>
      </c>
      <c r="J70">
        <v>152.4</v>
      </c>
      <c r="K70">
        <v>117.2</v>
      </c>
      <c r="L70">
        <v>102.1</v>
      </c>
      <c r="M70">
        <v>118.7</v>
      </c>
      <c r="N70">
        <v>116.4</v>
      </c>
      <c r="O70">
        <v>125.6</v>
      </c>
      <c r="R70">
        <v>125.1</v>
      </c>
      <c r="S70">
        <v>122.1</v>
      </c>
      <c r="T70">
        <v>122.1</v>
      </c>
      <c r="U70">
        <v>118.4</v>
      </c>
      <c r="V70">
        <v>121.6</v>
      </c>
      <c r="W70">
        <v>117.1</v>
      </c>
      <c r="X70">
        <v>115.5</v>
      </c>
      <c r="Y70">
        <v>117.3</v>
      </c>
      <c r="Z70">
        <v>114.8</v>
      </c>
      <c r="AA70">
        <v>110.8</v>
      </c>
      <c r="AB70">
        <v>113.7</v>
      </c>
      <c r="AC70">
        <v>119</v>
      </c>
      <c r="AD70">
        <v>109.1</v>
      </c>
      <c r="AE70">
        <v>113.8</v>
      </c>
      <c r="AF70">
        <v>120.1</v>
      </c>
    </row>
    <row r="71" spans="1:32"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R71">
        <v>123.3</v>
      </c>
      <c r="S71">
        <v>121.7</v>
      </c>
      <c r="T71">
        <v>123.8</v>
      </c>
      <c r="U71">
        <v>120.6</v>
      </c>
      <c r="V71">
        <v>123.3</v>
      </c>
      <c r="W71" t="s">
        <v>32</v>
      </c>
      <c r="X71">
        <v>117.4</v>
      </c>
      <c r="Y71">
        <v>118.2</v>
      </c>
      <c r="Z71">
        <v>116.2</v>
      </c>
      <c r="AA71">
        <v>111.5</v>
      </c>
      <c r="AB71">
        <v>113.3</v>
      </c>
      <c r="AC71">
        <v>117.7</v>
      </c>
      <c r="AD71">
        <v>109.4</v>
      </c>
      <c r="AE71">
        <v>114.2</v>
      </c>
      <c r="AF71">
        <v>120.3</v>
      </c>
    </row>
    <row r="72" spans="1:32" hidden="1" x14ac:dyDescent="0.3">
      <c r="A72" t="s">
        <v>33</v>
      </c>
      <c r="B72">
        <v>2014</v>
      </c>
      <c r="C72" t="s">
        <v>46</v>
      </c>
      <c r="D72">
        <v>124</v>
      </c>
      <c r="E72">
        <v>124.7</v>
      </c>
      <c r="F72">
        <v>126.3</v>
      </c>
      <c r="G72">
        <v>124.9</v>
      </c>
      <c r="H72">
        <v>103</v>
      </c>
      <c r="I72">
        <v>122.3</v>
      </c>
      <c r="J72">
        <v>141</v>
      </c>
      <c r="K72">
        <v>120.1</v>
      </c>
      <c r="L72">
        <v>97.8</v>
      </c>
      <c r="M72">
        <v>125.4</v>
      </c>
      <c r="N72">
        <v>116.1</v>
      </c>
      <c r="O72">
        <v>127.6</v>
      </c>
      <c r="R72">
        <v>124</v>
      </c>
      <c r="S72">
        <v>126.4</v>
      </c>
      <c r="T72">
        <v>120.7</v>
      </c>
      <c r="U72">
        <v>115.8</v>
      </c>
      <c r="V72">
        <v>120</v>
      </c>
      <c r="W72">
        <v>116.5</v>
      </c>
      <c r="X72">
        <v>113</v>
      </c>
      <c r="Y72">
        <v>116.8</v>
      </c>
      <c r="Z72">
        <v>113.2</v>
      </c>
      <c r="AA72">
        <v>108.8</v>
      </c>
      <c r="AB72">
        <v>114.3</v>
      </c>
      <c r="AC72">
        <v>120.7</v>
      </c>
      <c r="AD72">
        <v>110.4</v>
      </c>
      <c r="AE72">
        <v>113.4</v>
      </c>
      <c r="AF72">
        <v>118.4</v>
      </c>
    </row>
    <row r="73" spans="1:32" hidden="1" x14ac:dyDescent="0.3">
      <c r="A73" t="s">
        <v>34</v>
      </c>
      <c r="B73">
        <v>2014</v>
      </c>
      <c r="C73" t="s">
        <v>46</v>
      </c>
      <c r="D73">
        <v>122.9</v>
      </c>
      <c r="E73">
        <v>123.2</v>
      </c>
      <c r="F73">
        <v>123.5</v>
      </c>
      <c r="G73">
        <v>124.5</v>
      </c>
      <c r="H73">
        <v>107.6</v>
      </c>
      <c r="I73">
        <v>125.7</v>
      </c>
      <c r="J73">
        <v>140.5</v>
      </c>
      <c r="K73">
        <v>117.6</v>
      </c>
      <c r="L73">
        <v>100.6</v>
      </c>
      <c r="M73">
        <v>119.1</v>
      </c>
      <c r="N73">
        <v>116.8</v>
      </c>
      <c r="O73">
        <v>126.1</v>
      </c>
      <c r="R73">
        <v>123.6</v>
      </c>
      <c r="S73">
        <v>123</v>
      </c>
      <c r="T73">
        <v>122.6</v>
      </c>
      <c r="U73">
        <v>118.6</v>
      </c>
      <c r="V73">
        <v>122</v>
      </c>
      <c r="W73">
        <v>116.5</v>
      </c>
      <c r="X73">
        <v>115.7</v>
      </c>
      <c r="Y73">
        <v>117.5</v>
      </c>
      <c r="Z73">
        <v>115.1</v>
      </c>
      <c r="AA73">
        <v>110.1</v>
      </c>
      <c r="AB73">
        <v>113.9</v>
      </c>
      <c r="AC73">
        <v>119.5</v>
      </c>
      <c r="AD73">
        <v>109.8</v>
      </c>
      <c r="AE73">
        <v>113.8</v>
      </c>
      <c r="AF73">
        <v>119.4</v>
      </c>
    </row>
    <row r="74" spans="1:32"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R74">
        <v>122.8</v>
      </c>
      <c r="S74">
        <v>122.7</v>
      </c>
      <c r="T74">
        <v>124.4</v>
      </c>
      <c r="U74">
        <v>121.6</v>
      </c>
      <c r="V74">
        <v>124</v>
      </c>
      <c r="W74" t="s">
        <v>32</v>
      </c>
      <c r="X74">
        <v>118.4</v>
      </c>
      <c r="Y74">
        <v>118.9</v>
      </c>
      <c r="Z74">
        <v>116.6</v>
      </c>
      <c r="AA74">
        <v>111</v>
      </c>
      <c r="AB74">
        <v>114</v>
      </c>
      <c r="AC74">
        <v>118.2</v>
      </c>
      <c r="AD74">
        <v>110.2</v>
      </c>
      <c r="AE74">
        <v>114.5</v>
      </c>
      <c r="AF74">
        <v>120.3</v>
      </c>
    </row>
    <row r="75" spans="1:32" hidden="1" x14ac:dyDescent="0.3">
      <c r="A75" t="s">
        <v>33</v>
      </c>
      <c r="B75">
        <v>2015</v>
      </c>
      <c r="C75" t="s">
        <v>31</v>
      </c>
      <c r="D75">
        <v>124</v>
      </c>
      <c r="E75">
        <v>125.5</v>
      </c>
      <c r="F75">
        <v>126.6</v>
      </c>
      <c r="G75">
        <v>125.2</v>
      </c>
      <c r="H75">
        <v>104.3</v>
      </c>
      <c r="I75">
        <v>121.3</v>
      </c>
      <c r="J75">
        <v>134.4</v>
      </c>
      <c r="K75">
        <v>122.9</v>
      </c>
      <c r="L75">
        <v>96.1</v>
      </c>
      <c r="M75">
        <v>126.6</v>
      </c>
      <c r="N75">
        <v>116.5</v>
      </c>
      <c r="O75">
        <v>128</v>
      </c>
      <c r="R75">
        <v>123.5</v>
      </c>
      <c r="S75">
        <v>127.4</v>
      </c>
      <c r="T75">
        <v>121</v>
      </c>
      <c r="U75">
        <v>116.1</v>
      </c>
      <c r="V75">
        <v>120.2</v>
      </c>
      <c r="W75">
        <v>117.3</v>
      </c>
      <c r="X75">
        <v>113.4</v>
      </c>
      <c r="Y75">
        <v>117.2</v>
      </c>
      <c r="Z75">
        <v>113.7</v>
      </c>
      <c r="AA75">
        <v>107.9</v>
      </c>
      <c r="AB75">
        <v>114.6</v>
      </c>
      <c r="AC75">
        <v>120.8</v>
      </c>
      <c r="AD75">
        <v>111.4</v>
      </c>
      <c r="AE75">
        <v>113.4</v>
      </c>
      <c r="AF75">
        <v>118.5</v>
      </c>
    </row>
    <row r="76" spans="1:32" hidden="1" x14ac:dyDescent="0.3">
      <c r="A76" t="s">
        <v>34</v>
      </c>
      <c r="B76">
        <v>2015</v>
      </c>
      <c r="C76" t="s">
        <v>31</v>
      </c>
      <c r="D76">
        <v>123.4</v>
      </c>
      <c r="E76">
        <v>123.9</v>
      </c>
      <c r="F76">
        <v>123.8</v>
      </c>
      <c r="G76">
        <v>125</v>
      </c>
      <c r="H76">
        <v>108.5</v>
      </c>
      <c r="I76">
        <v>126.2</v>
      </c>
      <c r="J76">
        <v>133</v>
      </c>
      <c r="K76">
        <v>119.1</v>
      </c>
      <c r="L76">
        <v>99</v>
      </c>
      <c r="M76">
        <v>120.3</v>
      </c>
      <c r="N76">
        <v>117.3</v>
      </c>
      <c r="O76">
        <v>126.7</v>
      </c>
      <c r="R76">
        <v>123.1</v>
      </c>
      <c r="S76">
        <v>124</v>
      </c>
      <c r="T76">
        <v>123.1</v>
      </c>
      <c r="U76">
        <v>119.3</v>
      </c>
      <c r="V76">
        <v>122.5</v>
      </c>
      <c r="W76">
        <v>117.3</v>
      </c>
      <c r="X76">
        <v>116.5</v>
      </c>
      <c r="Y76">
        <v>118.1</v>
      </c>
      <c r="Z76">
        <v>115.5</v>
      </c>
      <c r="AA76">
        <v>109.4</v>
      </c>
      <c r="AB76">
        <v>114.3</v>
      </c>
      <c r="AC76">
        <v>119.7</v>
      </c>
      <c r="AD76">
        <v>110.7</v>
      </c>
      <c r="AE76">
        <v>114</v>
      </c>
      <c r="AF76">
        <v>119.5</v>
      </c>
    </row>
    <row r="77" spans="1:32"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R77">
        <v>122.8</v>
      </c>
      <c r="S77">
        <v>124.2</v>
      </c>
      <c r="T77">
        <v>125.4</v>
      </c>
      <c r="U77">
        <v>122.7</v>
      </c>
      <c r="V77">
        <v>125</v>
      </c>
      <c r="W77" t="s">
        <v>32</v>
      </c>
      <c r="X77">
        <v>120</v>
      </c>
      <c r="Y77">
        <v>119.6</v>
      </c>
      <c r="Z77">
        <v>117.7</v>
      </c>
      <c r="AA77">
        <v>110.9</v>
      </c>
      <c r="AB77">
        <v>114.8</v>
      </c>
      <c r="AC77">
        <v>118.7</v>
      </c>
      <c r="AD77">
        <v>110.8</v>
      </c>
      <c r="AE77">
        <v>115</v>
      </c>
      <c r="AF77">
        <v>120.6</v>
      </c>
    </row>
    <row r="78" spans="1:32"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R78">
        <v>123.7</v>
      </c>
      <c r="S78">
        <v>128.1</v>
      </c>
      <c r="T78">
        <v>121.3</v>
      </c>
      <c r="U78">
        <v>116.5</v>
      </c>
      <c r="V78">
        <v>120.6</v>
      </c>
      <c r="W78">
        <v>118.1</v>
      </c>
      <c r="X78">
        <v>114</v>
      </c>
      <c r="Y78">
        <v>117.7</v>
      </c>
      <c r="Z78">
        <v>114.1</v>
      </c>
      <c r="AA78">
        <v>106.8</v>
      </c>
      <c r="AB78">
        <v>114.9</v>
      </c>
      <c r="AC78">
        <v>120.4</v>
      </c>
      <c r="AD78">
        <v>111.7</v>
      </c>
      <c r="AE78">
        <v>113.2</v>
      </c>
      <c r="AF78">
        <v>118.7</v>
      </c>
    </row>
    <row r="79" spans="1:32" hidden="1" x14ac:dyDescent="0.3">
      <c r="A79" t="s">
        <v>34</v>
      </c>
      <c r="B79">
        <v>2015</v>
      </c>
      <c r="C79" t="s">
        <v>35</v>
      </c>
      <c r="D79">
        <v>123.7</v>
      </c>
      <c r="E79">
        <v>125.1</v>
      </c>
      <c r="F79">
        <v>121.1</v>
      </c>
      <c r="G79">
        <v>125.7</v>
      </c>
      <c r="H79">
        <v>109.1</v>
      </c>
      <c r="I79">
        <v>125.8</v>
      </c>
      <c r="J79">
        <v>129.4</v>
      </c>
      <c r="K79">
        <v>120.9</v>
      </c>
      <c r="L79">
        <v>98.3</v>
      </c>
      <c r="M79">
        <v>121.6</v>
      </c>
      <c r="N79">
        <v>118</v>
      </c>
      <c r="O79">
        <v>127.6</v>
      </c>
      <c r="R79">
        <v>123.1</v>
      </c>
      <c r="S79">
        <v>125.2</v>
      </c>
      <c r="T79">
        <v>123.8</v>
      </c>
      <c r="U79">
        <v>120.1</v>
      </c>
      <c r="V79">
        <v>123.3</v>
      </c>
      <c r="W79">
        <v>118.1</v>
      </c>
      <c r="X79">
        <v>117.7</v>
      </c>
      <c r="Y79">
        <v>118.7</v>
      </c>
      <c r="Z79">
        <v>116.3</v>
      </c>
      <c r="AA79">
        <v>108.7</v>
      </c>
      <c r="AB79">
        <v>114.9</v>
      </c>
      <c r="AC79">
        <v>119.7</v>
      </c>
      <c r="AD79">
        <v>111.2</v>
      </c>
      <c r="AE79">
        <v>114.1</v>
      </c>
      <c r="AF79">
        <v>119.7</v>
      </c>
    </row>
    <row r="80" spans="1:32" hidden="1" x14ac:dyDescent="0.3">
      <c r="A80" t="s">
        <v>30</v>
      </c>
      <c r="B80">
        <v>2015</v>
      </c>
      <c r="C80" t="s">
        <v>36</v>
      </c>
      <c r="D80">
        <v>123.3</v>
      </c>
      <c r="E80">
        <v>124.7</v>
      </c>
      <c r="F80">
        <v>118.9</v>
      </c>
      <c r="G80">
        <v>126</v>
      </c>
      <c r="H80">
        <v>111.8</v>
      </c>
      <c r="I80">
        <v>130.9</v>
      </c>
      <c r="J80">
        <v>128</v>
      </c>
      <c r="K80">
        <v>119.9</v>
      </c>
      <c r="L80">
        <v>98.9</v>
      </c>
      <c r="M80">
        <v>119.4</v>
      </c>
      <c r="N80">
        <v>118.9</v>
      </c>
      <c r="O80">
        <v>127.7</v>
      </c>
      <c r="R80">
        <v>123.1</v>
      </c>
      <c r="S80">
        <v>124.7</v>
      </c>
      <c r="T80">
        <v>126</v>
      </c>
      <c r="U80">
        <v>122.9</v>
      </c>
      <c r="V80">
        <v>125.5</v>
      </c>
      <c r="W80" t="s">
        <v>32</v>
      </c>
      <c r="X80">
        <v>120.6</v>
      </c>
      <c r="Y80">
        <v>120.2</v>
      </c>
      <c r="Z80">
        <v>118.2</v>
      </c>
      <c r="AA80">
        <v>111.6</v>
      </c>
      <c r="AB80">
        <v>115.5</v>
      </c>
      <c r="AC80">
        <v>119.4</v>
      </c>
      <c r="AD80">
        <v>110.8</v>
      </c>
      <c r="AE80">
        <v>115.5</v>
      </c>
      <c r="AF80">
        <v>121.1</v>
      </c>
    </row>
    <row r="81" spans="1:32"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R81">
        <v>123.9</v>
      </c>
      <c r="S81">
        <v>128.80000000000001</v>
      </c>
      <c r="T81">
        <v>121.7</v>
      </c>
      <c r="U81">
        <v>116.9</v>
      </c>
      <c r="V81">
        <v>120.9</v>
      </c>
      <c r="W81">
        <v>118.6</v>
      </c>
      <c r="X81">
        <v>114.4</v>
      </c>
      <c r="Y81">
        <v>118</v>
      </c>
      <c r="Z81">
        <v>114.3</v>
      </c>
      <c r="AA81">
        <v>108.4</v>
      </c>
      <c r="AB81">
        <v>115.4</v>
      </c>
      <c r="AC81">
        <v>120.6</v>
      </c>
      <c r="AD81">
        <v>111.3</v>
      </c>
      <c r="AE81">
        <v>113.8</v>
      </c>
      <c r="AF81">
        <v>119.1</v>
      </c>
    </row>
    <row r="82" spans="1:32"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R82">
        <v>123.4</v>
      </c>
      <c r="S82">
        <v>125.8</v>
      </c>
      <c r="T82">
        <v>124.3</v>
      </c>
      <c r="U82">
        <v>120.4</v>
      </c>
      <c r="V82">
        <v>123.7</v>
      </c>
      <c r="W82">
        <v>118.6</v>
      </c>
      <c r="X82">
        <v>118.3</v>
      </c>
      <c r="Y82">
        <v>119.2</v>
      </c>
      <c r="Z82">
        <v>116.7</v>
      </c>
      <c r="AA82">
        <v>109.9</v>
      </c>
      <c r="AB82">
        <v>115.4</v>
      </c>
      <c r="AC82">
        <v>120.1</v>
      </c>
      <c r="AD82">
        <v>111</v>
      </c>
      <c r="AE82">
        <v>114.7</v>
      </c>
      <c r="AF82">
        <v>120.2</v>
      </c>
    </row>
    <row r="83" spans="1:32"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R83">
        <v>123.6</v>
      </c>
      <c r="S83">
        <v>125.7</v>
      </c>
      <c r="T83">
        <v>126.4</v>
      </c>
      <c r="U83">
        <v>123.3</v>
      </c>
      <c r="V83">
        <v>126</v>
      </c>
      <c r="W83" t="s">
        <v>32</v>
      </c>
      <c r="X83">
        <v>121.2</v>
      </c>
      <c r="Y83">
        <v>120.9</v>
      </c>
      <c r="Z83">
        <v>118.6</v>
      </c>
      <c r="AA83">
        <v>111.9</v>
      </c>
      <c r="AB83">
        <v>116.2</v>
      </c>
      <c r="AC83">
        <v>119.9</v>
      </c>
      <c r="AD83">
        <v>111.6</v>
      </c>
      <c r="AE83">
        <v>116</v>
      </c>
      <c r="AF83">
        <v>121.5</v>
      </c>
    </row>
    <row r="84" spans="1:32"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R84">
        <v>124.6</v>
      </c>
      <c r="S84">
        <v>130.1</v>
      </c>
      <c r="T84">
        <v>122.1</v>
      </c>
      <c r="U84">
        <v>117.2</v>
      </c>
      <c r="V84">
        <v>121.3</v>
      </c>
      <c r="W84">
        <v>119.2</v>
      </c>
      <c r="X84">
        <v>114.7</v>
      </c>
      <c r="Y84">
        <v>118.4</v>
      </c>
      <c r="Z84">
        <v>114.6</v>
      </c>
      <c r="AA84">
        <v>108.4</v>
      </c>
      <c r="AB84">
        <v>115.6</v>
      </c>
      <c r="AC84">
        <v>121.7</v>
      </c>
      <c r="AD84">
        <v>111.8</v>
      </c>
      <c r="AE84">
        <v>114.2</v>
      </c>
      <c r="AF84">
        <v>119.7</v>
      </c>
    </row>
    <row r="85" spans="1:32" hidden="1" x14ac:dyDescent="0.3">
      <c r="A85" t="s">
        <v>34</v>
      </c>
      <c r="B85">
        <v>2015</v>
      </c>
      <c r="C85" t="s">
        <v>37</v>
      </c>
      <c r="D85">
        <v>123.5</v>
      </c>
      <c r="E85">
        <v>126.4</v>
      </c>
      <c r="F85">
        <v>114.4</v>
      </c>
      <c r="G85">
        <v>126.6</v>
      </c>
      <c r="H85">
        <v>109.2</v>
      </c>
      <c r="I85">
        <v>132.5</v>
      </c>
      <c r="J85">
        <v>128.6</v>
      </c>
      <c r="K85">
        <v>124.8</v>
      </c>
      <c r="L85">
        <v>95.7</v>
      </c>
      <c r="M85">
        <v>122.4</v>
      </c>
      <c r="N85">
        <v>118.5</v>
      </c>
      <c r="O85">
        <v>129.1</v>
      </c>
      <c r="R85">
        <v>124</v>
      </c>
      <c r="S85">
        <v>126.9</v>
      </c>
      <c r="T85">
        <v>124.7</v>
      </c>
      <c r="U85">
        <v>120.8</v>
      </c>
      <c r="V85">
        <v>124.1</v>
      </c>
      <c r="W85">
        <v>119.2</v>
      </c>
      <c r="X85">
        <v>118.7</v>
      </c>
      <c r="Y85">
        <v>119.7</v>
      </c>
      <c r="Z85">
        <v>117.1</v>
      </c>
      <c r="AA85">
        <v>110.1</v>
      </c>
      <c r="AB85">
        <v>115.9</v>
      </c>
      <c r="AC85">
        <v>121</v>
      </c>
      <c r="AD85">
        <v>111.7</v>
      </c>
      <c r="AE85">
        <v>115.1</v>
      </c>
      <c r="AF85">
        <v>120.7</v>
      </c>
    </row>
    <row r="86" spans="1:32"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R86">
        <v>124.4</v>
      </c>
      <c r="S86">
        <v>126.7</v>
      </c>
      <c r="T86">
        <v>127.3</v>
      </c>
      <c r="U86">
        <v>124.1</v>
      </c>
      <c r="V86">
        <v>126.8</v>
      </c>
      <c r="W86" t="s">
        <v>32</v>
      </c>
      <c r="X86">
        <v>121.9</v>
      </c>
      <c r="Y86">
        <v>121.5</v>
      </c>
      <c r="Z86">
        <v>119.4</v>
      </c>
      <c r="AA86">
        <v>113.3</v>
      </c>
      <c r="AB86">
        <v>116.7</v>
      </c>
      <c r="AC86">
        <v>120.5</v>
      </c>
      <c r="AD86">
        <v>112.3</v>
      </c>
      <c r="AE86">
        <v>116.9</v>
      </c>
      <c r="AF86">
        <v>122.4</v>
      </c>
    </row>
    <row r="87" spans="1:32"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R87">
        <v>126.1</v>
      </c>
      <c r="S87">
        <v>131.30000000000001</v>
      </c>
      <c r="T87">
        <v>122.4</v>
      </c>
      <c r="U87">
        <v>117.4</v>
      </c>
      <c r="V87">
        <v>121.6</v>
      </c>
      <c r="W87">
        <v>119.6</v>
      </c>
      <c r="X87">
        <v>114.9</v>
      </c>
      <c r="Y87">
        <v>118.7</v>
      </c>
      <c r="Z87">
        <v>114.9</v>
      </c>
      <c r="AA87">
        <v>110.8</v>
      </c>
      <c r="AB87">
        <v>116</v>
      </c>
      <c r="AC87">
        <v>122</v>
      </c>
      <c r="AD87">
        <v>112.4</v>
      </c>
      <c r="AE87">
        <v>115.2</v>
      </c>
      <c r="AF87">
        <v>120.7</v>
      </c>
    </row>
    <row r="88" spans="1:32"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R88">
        <v>125</v>
      </c>
      <c r="S88">
        <v>127.9</v>
      </c>
      <c r="T88">
        <v>125.4</v>
      </c>
      <c r="U88">
        <v>121.3</v>
      </c>
      <c r="V88">
        <v>124.7</v>
      </c>
      <c r="W88">
        <v>119.6</v>
      </c>
      <c r="X88">
        <v>119.2</v>
      </c>
      <c r="Y88">
        <v>120.2</v>
      </c>
      <c r="Z88">
        <v>117.7</v>
      </c>
      <c r="AA88">
        <v>112</v>
      </c>
      <c r="AB88">
        <v>116.3</v>
      </c>
      <c r="AC88">
        <v>121.4</v>
      </c>
      <c r="AD88">
        <v>112.3</v>
      </c>
      <c r="AE88">
        <v>116.1</v>
      </c>
      <c r="AF88">
        <v>121.6</v>
      </c>
    </row>
    <row r="89" spans="1:32"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R89">
        <v>126.6</v>
      </c>
      <c r="S89">
        <v>128.19999999999999</v>
      </c>
      <c r="T89">
        <v>128.4</v>
      </c>
      <c r="U89">
        <v>125.1</v>
      </c>
      <c r="V89">
        <v>128</v>
      </c>
      <c r="W89" t="s">
        <v>32</v>
      </c>
      <c r="X89">
        <v>122.6</v>
      </c>
      <c r="Y89">
        <v>122.8</v>
      </c>
      <c r="Z89">
        <v>120.4</v>
      </c>
      <c r="AA89">
        <v>114.2</v>
      </c>
      <c r="AB89">
        <v>117.9</v>
      </c>
      <c r="AC89">
        <v>122</v>
      </c>
      <c r="AD89">
        <v>113</v>
      </c>
      <c r="AE89">
        <v>117.9</v>
      </c>
      <c r="AF89">
        <v>124.1</v>
      </c>
    </row>
    <row r="90" spans="1:32"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R90">
        <v>128.5</v>
      </c>
      <c r="S90">
        <v>132.1</v>
      </c>
      <c r="T90">
        <v>123.2</v>
      </c>
      <c r="U90">
        <v>117.6</v>
      </c>
      <c r="V90">
        <v>122.3</v>
      </c>
      <c r="W90">
        <v>119</v>
      </c>
      <c r="X90">
        <v>115.1</v>
      </c>
      <c r="Y90">
        <v>119.2</v>
      </c>
      <c r="Z90">
        <v>115.4</v>
      </c>
      <c r="AA90">
        <v>111.7</v>
      </c>
      <c r="AB90">
        <v>116.2</v>
      </c>
      <c r="AC90">
        <v>123.8</v>
      </c>
      <c r="AD90">
        <v>112.5</v>
      </c>
      <c r="AE90">
        <v>116</v>
      </c>
      <c r="AF90">
        <v>121.7</v>
      </c>
    </row>
    <row r="91" spans="1:32"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R91">
        <v>127.3</v>
      </c>
      <c r="S91">
        <v>129.19999999999999</v>
      </c>
      <c r="T91">
        <v>126.4</v>
      </c>
      <c r="U91">
        <v>122</v>
      </c>
      <c r="V91">
        <v>125.7</v>
      </c>
      <c r="W91">
        <v>119</v>
      </c>
      <c r="X91">
        <v>119.8</v>
      </c>
      <c r="Y91">
        <v>121.1</v>
      </c>
      <c r="Z91">
        <v>118.5</v>
      </c>
      <c r="AA91">
        <v>112.9</v>
      </c>
      <c r="AB91">
        <v>116.9</v>
      </c>
      <c r="AC91">
        <v>123.1</v>
      </c>
      <c r="AD91">
        <v>112.8</v>
      </c>
      <c r="AE91">
        <v>117</v>
      </c>
      <c r="AF91">
        <v>123</v>
      </c>
    </row>
    <row r="92" spans="1:32"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R92">
        <v>127.5</v>
      </c>
      <c r="S92">
        <v>129.4</v>
      </c>
      <c r="T92">
        <v>128.80000000000001</v>
      </c>
      <c r="U92">
        <v>125.5</v>
      </c>
      <c r="V92">
        <v>128.30000000000001</v>
      </c>
      <c r="W92" t="s">
        <v>32</v>
      </c>
      <c r="X92">
        <v>123</v>
      </c>
      <c r="Y92">
        <v>123</v>
      </c>
      <c r="Z92">
        <v>120.8</v>
      </c>
      <c r="AA92">
        <v>114.1</v>
      </c>
      <c r="AB92">
        <v>118</v>
      </c>
      <c r="AC92">
        <v>122.9</v>
      </c>
      <c r="AD92">
        <v>112.7</v>
      </c>
      <c r="AE92">
        <v>118.1</v>
      </c>
      <c r="AF92">
        <v>124.7</v>
      </c>
    </row>
    <row r="93" spans="1:32"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R93">
        <v>129.5</v>
      </c>
      <c r="S93">
        <v>133.1</v>
      </c>
      <c r="T93">
        <v>123.5</v>
      </c>
      <c r="U93">
        <v>117.9</v>
      </c>
      <c r="V93">
        <v>122.7</v>
      </c>
      <c r="W93">
        <v>119.9</v>
      </c>
      <c r="X93">
        <v>115.3</v>
      </c>
      <c r="Y93">
        <v>119.5</v>
      </c>
      <c r="Z93">
        <v>116</v>
      </c>
      <c r="AA93">
        <v>111.5</v>
      </c>
      <c r="AB93">
        <v>116.6</v>
      </c>
      <c r="AC93">
        <v>125.4</v>
      </c>
      <c r="AD93">
        <v>111.7</v>
      </c>
      <c r="AE93">
        <v>116.3</v>
      </c>
      <c r="AF93">
        <v>122.4</v>
      </c>
    </row>
    <row r="94" spans="1:32"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R94">
        <v>128.19999999999999</v>
      </c>
      <c r="S94">
        <v>130.4</v>
      </c>
      <c r="T94">
        <v>126.7</v>
      </c>
      <c r="U94">
        <v>122.3</v>
      </c>
      <c r="V94">
        <v>126.1</v>
      </c>
      <c r="W94">
        <v>119.9</v>
      </c>
      <c r="X94">
        <v>120.1</v>
      </c>
      <c r="Y94">
        <v>121.3</v>
      </c>
      <c r="Z94">
        <v>119</v>
      </c>
      <c r="AA94">
        <v>112.7</v>
      </c>
      <c r="AB94">
        <v>117.2</v>
      </c>
      <c r="AC94">
        <v>124.4</v>
      </c>
      <c r="AD94">
        <v>112.3</v>
      </c>
      <c r="AE94">
        <v>117.2</v>
      </c>
      <c r="AF94">
        <v>123.6</v>
      </c>
    </row>
    <row r="95" spans="1:32"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R95">
        <v>129.80000000000001</v>
      </c>
      <c r="S95">
        <v>130.1</v>
      </c>
      <c r="T95">
        <v>129.5</v>
      </c>
      <c r="U95">
        <v>126.3</v>
      </c>
      <c r="V95">
        <v>129</v>
      </c>
      <c r="W95" t="s">
        <v>32</v>
      </c>
      <c r="X95">
        <v>123.8</v>
      </c>
      <c r="Y95">
        <v>123.7</v>
      </c>
      <c r="Z95">
        <v>121.1</v>
      </c>
      <c r="AA95">
        <v>113.6</v>
      </c>
      <c r="AB95">
        <v>118.5</v>
      </c>
      <c r="AC95">
        <v>123.6</v>
      </c>
      <c r="AD95">
        <v>112.5</v>
      </c>
      <c r="AE95">
        <v>118.2</v>
      </c>
      <c r="AF95">
        <v>126.1</v>
      </c>
    </row>
    <row r="96" spans="1:32"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R96">
        <v>131.1</v>
      </c>
      <c r="S96">
        <v>134.19999999999999</v>
      </c>
      <c r="T96">
        <v>123.7</v>
      </c>
      <c r="U96">
        <v>118.2</v>
      </c>
      <c r="V96">
        <v>122.9</v>
      </c>
      <c r="W96">
        <v>120.9</v>
      </c>
      <c r="X96">
        <v>115.3</v>
      </c>
      <c r="Y96">
        <v>120</v>
      </c>
      <c r="Z96">
        <v>116.6</v>
      </c>
      <c r="AA96">
        <v>109.9</v>
      </c>
      <c r="AB96">
        <v>117.2</v>
      </c>
      <c r="AC96">
        <v>126.2</v>
      </c>
      <c r="AD96">
        <v>112</v>
      </c>
      <c r="AE96">
        <v>116.2</v>
      </c>
      <c r="AF96">
        <v>123.2</v>
      </c>
    </row>
    <row r="97" spans="1:32"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R97">
        <v>130.30000000000001</v>
      </c>
      <c r="S97">
        <v>131.19999999999999</v>
      </c>
      <c r="T97">
        <v>127.2</v>
      </c>
      <c r="U97">
        <v>122.9</v>
      </c>
      <c r="V97">
        <v>126.6</v>
      </c>
      <c r="W97">
        <v>120.9</v>
      </c>
      <c r="X97">
        <v>120.6</v>
      </c>
      <c r="Y97">
        <v>122</v>
      </c>
      <c r="Z97">
        <v>119.4</v>
      </c>
      <c r="AA97">
        <v>111.7</v>
      </c>
      <c r="AB97">
        <v>117.8</v>
      </c>
      <c r="AC97">
        <v>125.1</v>
      </c>
      <c r="AD97">
        <v>112.3</v>
      </c>
      <c r="AE97">
        <v>117.2</v>
      </c>
      <c r="AF97">
        <v>124.8</v>
      </c>
    </row>
    <row r="98" spans="1:32"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R98">
        <v>131</v>
      </c>
      <c r="S98">
        <v>131</v>
      </c>
      <c r="T98">
        <v>130.4</v>
      </c>
      <c r="U98">
        <v>126.8</v>
      </c>
      <c r="V98">
        <v>129.9</v>
      </c>
      <c r="W98" t="s">
        <v>32</v>
      </c>
      <c r="X98">
        <v>123.7</v>
      </c>
      <c r="Y98">
        <v>124.5</v>
      </c>
      <c r="Z98">
        <v>121.4</v>
      </c>
      <c r="AA98">
        <v>113.8</v>
      </c>
      <c r="AB98">
        <v>119.6</v>
      </c>
      <c r="AC98">
        <v>124.5</v>
      </c>
      <c r="AD98">
        <v>113.7</v>
      </c>
      <c r="AE98">
        <v>118.8</v>
      </c>
      <c r="AF98">
        <v>127</v>
      </c>
    </row>
    <row r="99" spans="1:32"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R99">
        <v>131.5</v>
      </c>
      <c r="S99">
        <v>134.69999999999999</v>
      </c>
      <c r="T99">
        <v>124</v>
      </c>
      <c r="U99">
        <v>118.6</v>
      </c>
      <c r="V99">
        <v>123.2</v>
      </c>
      <c r="W99">
        <v>121.6</v>
      </c>
      <c r="X99">
        <v>115.1</v>
      </c>
      <c r="Y99">
        <v>120.4</v>
      </c>
      <c r="Z99">
        <v>117.1</v>
      </c>
      <c r="AA99">
        <v>109.1</v>
      </c>
      <c r="AB99">
        <v>117.3</v>
      </c>
      <c r="AC99">
        <v>126.5</v>
      </c>
      <c r="AD99">
        <v>112.9</v>
      </c>
      <c r="AE99">
        <v>116.2</v>
      </c>
      <c r="AF99">
        <v>123.5</v>
      </c>
    </row>
    <row r="100" spans="1:32"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R100">
        <v>131.19999999999999</v>
      </c>
      <c r="S100">
        <v>132</v>
      </c>
      <c r="T100">
        <v>127.9</v>
      </c>
      <c r="U100">
        <v>123.4</v>
      </c>
      <c r="V100">
        <v>127.2</v>
      </c>
      <c r="W100">
        <v>121.6</v>
      </c>
      <c r="X100">
        <v>120.4</v>
      </c>
      <c r="Y100">
        <v>122.6</v>
      </c>
      <c r="Z100">
        <v>119.8</v>
      </c>
      <c r="AA100">
        <v>111.3</v>
      </c>
      <c r="AB100">
        <v>118.3</v>
      </c>
      <c r="AC100">
        <v>125.7</v>
      </c>
      <c r="AD100">
        <v>113.4</v>
      </c>
      <c r="AE100">
        <v>117.5</v>
      </c>
      <c r="AF100">
        <v>125.4</v>
      </c>
    </row>
    <row r="101" spans="1:32"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R101">
        <v>131.80000000000001</v>
      </c>
      <c r="S101">
        <v>131.5</v>
      </c>
      <c r="T101">
        <v>131.1</v>
      </c>
      <c r="U101">
        <v>127.3</v>
      </c>
      <c r="V101">
        <v>130.6</v>
      </c>
      <c r="W101" t="s">
        <v>32</v>
      </c>
      <c r="X101">
        <v>124.4</v>
      </c>
      <c r="Y101">
        <v>125.1</v>
      </c>
      <c r="Z101">
        <v>122</v>
      </c>
      <c r="AA101">
        <v>113.8</v>
      </c>
      <c r="AB101">
        <v>120.1</v>
      </c>
      <c r="AC101">
        <v>125.1</v>
      </c>
      <c r="AD101">
        <v>114.2</v>
      </c>
      <c r="AE101">
        <v>119.2</v>
      </c>
      <c r="AF101">
        <v>127.7</v>
      </c>
    </row>
    <row r="102" spans="1:32"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R102">
        <v>132.6</v>
      </c>
      <c r="S102">
        <v>135.30000000000001</v>
      </c>
      <c r="T102">
        <v>124.4</v>
      </c>
      <c r="U102">
        <v>118.8</v>
      </c>
      <c r="V102">
        <v>123.6</v>
      </c>
      <c r="W102">
        <v>122.4</v>
      </c>
      <c r="X102">
        <v>114.9</v>
      </c>
      <c r="Y102">
        <v>120.7</v>
      </c>
      <c r="Z102">
        <v>117.7</v>
      </c>
      <c r="AA102">
        <v>109.3</v>
      </c>
      <c r="AB102">
        <v>117.7</v>
      </c>
      <c r="AC102">
        <v>126.5</v>
      </c>
      <c r="AD102">
        <v>113.5</v>
      </c>
      <c r="AE102">
        <v>116.5</v>
      </c>
      <c r="AF102">
        <v>124.2</v>
      </c>
    </row>
    <row r="103" spans="1:32"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R103">
        <v>132.1</v>
      </c>
      <c r="S103">
        <v>132.5</v>
      </c>
      <c r="T103">
        <v>128.5</v>
      </c>
      <c r="U103">
        <v>123.8</v>
      </c>
      <c r="V103">
        <v>127.8</v>
      </c>
      <c r="W103">
        <v>122.4</v>
      </c>
      <c r="X103">
        <v>120.8</v>
      </c>
      <c r="Y103">
        <v>123</v>
      </c>
      <c r="Z103">
        <v>120.4</v>
      </c>
      <c r="AA103">
        <v>111.4</v>
      </c>
      <c r="AB103">
        <v>118.7</v>
      </c>
      <c r="AC103">
        <v>125.9</v>
      </c>
      <c r="AD103">
        <v>113.9</v>
      </c>
      <c r="AE103">
        <v>117.9</v>
      </c>
      <c r="AF103">
        <v>126.1</v>
      </c>
    </row>
    <row r="104" spans="1:32"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R104">
        <v>132.4</v>
      </c>
      <c r="S104">
        <v>132.19999999999999</v>
      </c>
      <c r="T104">
        <v>132.1</v>
      </c>
      <c r="U104">
        <v>128.19999999999999</v>
      </c>
      <c r="V104">
        <v>131.5</v>
      </c>
      <c r="W104" t="s">
        <v>32</v>
      </c>
      <c r="X104">
        <v>125.6</v>
      </c>
      <c r="Y104">
        <v>125.6</v>
      </c>
      <c r="Z104">
        <v>122.6</v>
      </c>
      <c r="AA104">
        <v>114</v>
      </c>
      <c r="AB104">
        <v>120.9</v>
      </c>
      <c r="AC104">
        <v>125.8</v>
      </c>
      <c r="AD104">
        <v>114.2</v>
      </c>
      <c r="AE104">
        <v>119.6</v>
      </c>
      <c r="AF104">
        <v>128.30000000000001</v>
      </c>
    </row>
    <row r="105" spans="1:32"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R105">
        <v>133.30000000000001</v>
      </c>
      <c r="S105">
        <v>137.6</v>
      </c>
      <c r="T105">
        <v>125</v>
      </c>
      <c r="U105">
        <v>119.3</v>
      </c>
      <c r="V105">
        <v>124.2</v>
      </c>
      <c r="W105">
        <v>122.9</v>
      </c>
      <c r="X105">
        <v>115.1</v>
      </c>
      <c r="Y105">
        <v>121</v>
      </c>
      <c r="Z105">
        <v>118.1</v>
      </c>
      <c r="AA105">
        <v>109.3</v>
      </c>
      <c r="AB105">
        <v>117.9</v>
      </c>
      <c r="AC105">
        <v>126.6</v>
      </c>
      <c r="AD105">
        <v>113.3</v>
      </c>
      <c r="AE105">
        <v>116.6</v>
      </c>
      <c r="AF105">
        <v>124.6</v>
      </c>
    </row>
    <row r="106" spans="1:32"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R106">
        <v>132.69999999999999</v>
      </c>
      <c r="S106">
        <v>133.6</v>
      </c>
      <c r="T106">
        <v>129.30000000000001</v>
      </c>
      <c r="U106">
        <v>124.5</v>
      </c>
      <c r="V106">
        <v>128.6</v>
      </c>
      <c r="W106">
        <v>122.9</v>
      </c>
      <c r="X106">
        <v>121.6</v>
      </c>
      <c r="Y106">
        <v>123.4</v>
      </c>
      <c r="Z106">
        <v>120.9</v>
      </c>
      <c r="AA106">
        <v>111.5</v>
      </c>
      <c r="AB106">
        <v>119.2</v>
      </c>
      <c r="AC106">
        <v>126.3</v>
      </c>
      <c r="AD106">
        <v>113.8</v>
      </c>
      <c r="AE106">
        <v>118.1</v>
      </c>
      <c r="AF106">
        <v>126.6</v>
      </c>
    </row>
    <row r="107" spans="1:32"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R107">
        <v>131.4</v>
      </c>
      <c r="S107">
        <v>133.1</v>
      </c>
      <c r="T107">
        <v>132.5</v>
      </c>
      <c r="U107">
        <v>128.5</v>
      </c>
      <c r="V107">
        <v>131.9</v>
      </c>
      <c r="W107" t="s">
        <v>32</v>
      </c>
      <c r="X107">
        <v>125.7</v>
      </c>
      <c r="Y107">
        <v>126</v>
      </c>
      <c r="Z107">
        <v>123.1</v>
      </c>
      <c r="AA107">
        <v>114</v>
      </c>
      <c r="AB107">
        <v>121.6</v>
      </c>
      <c r="AC107">
        <v>125.6</v>
      </c>
      <c r="AD107">
        <v>114.1</v>
      </c>
      <c r="AE107">
        <v>119.8</v>
      </c>
      <c r="AF107">
        <v>127.9</v>
      </c>
    </row>
    <row r="108" spans="1:32"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R108">
        <v>131.5</v>
      </c>
      <c r="S108">
        <v>138.19999999999999</v>
      </c>
      <c r="T108">
        <v>125.4</v>
      </c>
      <c r="U108">
        <v>119.5</v>
      </c>
      <c r="V108">
        <v>124.5</v>
      </c>
      <c r="W108">
        <v>122.4</v>
      </c>
      <c r="X108">
        <v>116</v>
      </c>
      <c r="Y108">
        <v>121</v>
      </c>
      <c r="Z108">
        <v>118.6</v>
      </c>
      <c r="AA108">
        <v>109.3</v>
      </c>
      <c r="AB108">
        <v>118.1</v>
      </c>
      <c r="AC108">
        <v>126.6</v>
      </c>
      <c r="AD108">
        <v>113.2</v>
      </c>
      <c r="AE108">
        <v>116.7</v>
      </c>
      <c r="AF108">
        <v>124</v>
      </c>
    </row>
    <row r="109" spans="1:32"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R109">
        <v>131.4</v>
      </c>
      <c r="S109">
        <v>134.5</v>
      </c>
      <c r="T109">
        <v>129.69999999999999</v>
      </c>
      <c r="U109">
        <v>124.8</v>
      </c>
      <c r="V109">
        <v>129</v>
      </c>
      <c r="W109">
        <v>122.4</v>
      </c>
      <c r="X109">
        <v>122</v>
      </c>
      <c r="Y109">
        <v>123.6</v>
      </c>
      <c r="Z109">
        <v>121.4</v>
      </c>
      <c r="AA109">
        <v>111.5</v>
      </c>
      <c r="AB109">
        <v>119.6</v>
      </c>
      <c r="AC109">
        <v>126.2</v>
      </c>
      <c r="AD109">
        <v>113.7</v>
      </c>
      <c r="AE109">
        <v>118.3</v>
      </c>
      <c r="AF109">
        <v>126.1</v>
      </c>
    </row>
    <row r="110" spans="1:32"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R110">
        <v>131.4</v>
      </c>
      <c r="S110">
        <v>133.6</v>
      </c>
      <c r="T110">
        <v>133.19999999999999</v>
      </c>
      <c r="U110">
        <v>128.9</v>
      </c>
      <c r="V110">
        <v>132.6</v>
      </c>
      <c r="W110" t="s">
        <v>32</v>
      </c>
      <c r="X110">
        <v>126.2</v>
      </c>
      <c r="Y110">
        <v>126.6</v>
      </c>
      <c r="Z110">
        <v>123.7</v>
      </c>
      <c r="AA110">
        <v>113.6</v>
      </c>
      <c r="AB110">
        <v>121.4</v>
      </c>
      <c r="AC110">
        <v>126.2</v>
      </c>
      <c r="AD110">
        <v>114.9</v>
      </c>
      <c r="AE110">
        <v>120.1</v>
      </c>
      <c r="AF110">
        <v>128.1</v>
      </c>
    </row>
    <row r="111" spans="1:32"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R111">
        <v>131.19999999999999</v>
      </c>
      <c r="S111">
        <v>139.5</v>
      </c>
      <c r="T111">
        <v>125.8</v>
      </c>
      <c r="U111">
        <v>119.8</v>
      </c>
      <c r="V111">
        <v>124.9</v>
      </c>
      <c r="W111">
        <v>123.4</v>
      </c>
      <c r="X111">
        <v>116.9</v>
      </c>
      <c r="Y111">
        <v>121.6</v>
      </c>
      <c r="Z111">
        <v>119.1</v>
      </c>
      <c r="AA111">
        <v>108.9</v>
      </c>
      <c r="AB111">
        <v>118.5</v>
      </c>
      <c r="AC111">
        <v>126.4</v>
      </c>
      <c r="AD111">
        <v>114</v>
      </c>
      <c r="AE111">
        <v>116.8</v>
      </c>
      <c r="AF111">
        <v>124.2</v>
      </c>
    </row>
    <row r="112" spans="1:32"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R112">
        <v>131.30000000000001</v>
      </c>
      <c r="S112">
        <v>135.19999999999999</v>
      </c>
      <c r="T112">
        <v>130.30000000000001</v>
      </c>
      <c r="U112">
        <v>125.1</v>
      </c>
      <c r="V112">
        <v>129.5</v>
      </c>
      <c r="W112">
        <v>123.4</v>
      </c>
      <c r="X112">
        <v>122.7</v>
      </c>
      <c r="Y112">
        <v>124.2</v>
      </c>
      <c r="Z112">
        <v>122</v>
      </c>
      <c r="AA112">
        <v>111.1</v>
      </c>
      <c r="AB112">
        <v>119.8</v>
      </c>
      <c r="AC112">
        <v>126.3</v>
      </c>
      <c r="AD112">
        <v>114.5</v>
      </c>
      <c r="AE112">
        <v>118.5</v>
      </c>
      <c r="AF112">
        <v>126.3</v>
      </c>
    </row>
    <row r="113" spans="1:32"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R113">
        <v>130.30000000000001</v>
      </c>
      <c r="S113">
        <v>134.4</v>
      </c>
      <c r="T113">
        <v>133.9</v>
      </c>
      <c r="U113">
        <v>129.80000000000001</v>
      </c>
      <c r="V113">
        <v>133.4</v>
      </c>
      <c r="W113" t="s">
        <v>32</v>
      </c>
      <c r="X113">
        <v>127.5</v>
      </c>
      <c r="Y113">
        <v>127.1</v>
      </c>
      <c r="Z113">
        <v>124.3</v>
      </c>
      <c r="AA113">
        <v>113.9</v>
      </c>
      <c r="AB113">
        <v>122.3</v>
      </c>
      <c r="AC113">
        <v>127.1</v>
      </c>
      <c r="AD113">
        <v>116.8</v>
      </c>
      <c r="AE113">
        <v>120.9</v>
      </c>
      <c r="AF113">
        <v>127.9</v>
      </c>
    </row>
    <row r="114" spans="1:32"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R114">
        <v>129.1</v>
      </c>
      <c r="S114">
        <v>140</v>
      </c>
      <c r="T114">
        <v>126.2</v>
      </c>
      <c r="U114">
        <v>120.1</v>
      </c>
      <c r="V114">
        <v>125.3</v>
      </c>
      <c r="W114">
        <v>124.4</v>
      </c>
      <c r="X114">
        <v>116</v>
      </c>
      <c r="Y114">
        <v>121.8</v>
      </c>
      <c r="Z114">
        <v>119.5</v>
      </c>
      <c r="AA114">
        <v>109.1</v>
      </c>
      <c r="AB114">
        <v>118.8</v>
      </c>
      <c r="AC114">
        <v>126.3</v>
      </c>
      <c r="AD114">
        <v>116.2</v>
      </c>
      <c r="AE114">
        <v>117.2</v>
      </c>
      <c r="AF114">
        <v>123.8</v>
      </c>
    </row>
    <row r="115" spans="1:32"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R115">
        <v>129.9</v>
      </c>
      <c r="S115">
        <v>135.9</v>
      </c>
      <c r="T115">
        <v>130.9</v>
      </c>
      <c r="U115">
        <v>125.8</v>
      </c>
      <c r="V115">
        <v>130.19999999999999</v>
      </c>
      <c r="W115">
        <v>124.4</v>
      </c>
      <c r="X115">
        <v>123.1</v>
      </c>
      <c r="Y115">
        <v>124.6</v>
      </c>
      <c r="Z115">
        <v>122.5</v>
      </c>
      <c r="AA115">
        <v>111.4</v>
      </c>
      <c r="AB115">
        <v>120.3</v>
      </c>
      <c r="AC115">
        <v>126.6</v>
      </c>
      <c r="AD115">
        <v>116.6</v>
      </c>
      <c r="AE115">
        <v>119.1</v>
      </c>
      <c r="AF115">
        <v>126</v>
      </c>
    </row>
    <row r="116" spans="1:32"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R116">
        <v>130.4</v>
      </c>
      <c r="S116">
        <v>135</v>
      </c>
      <c r="T116">
        <v>134.4</v>
      </c>
      <c r="U116">
        <v>130.19999999999999</v>
      </c>
      <c r="V116">
        <v>133.80000000000001</v>
      </c>
      <c r="W116" t="s">
        <v>32</v>
      </c>
      <c r="X116">
        <v>127</v>
      </c>
      <c r="Y116">
        <v>127.7</v>
      </c>
      <c r="Z116">
        <v>124.8</v>
      </c>
      <c r="AA116">
        <v>113.6</v>
      </c>
      <c r="AB116">
        <v>122.5</v>
      </c>
      <c r="AC116">
        <v>127.5</v>
      </c>
      <c r="AD116">
        <v>117.4</v>
      </c>
      <c r="AE116">
        <v>121.1</v>
      </c>
      <c r="AF116">
        <v>128</v>
      </c>
    </row>
    <row r="117" spans="1:32"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R117">
        <v>128.9</v>
      </c>
      <c r="S117">
        <v>140.6</v>
      </c>
      <c r="T117">
        <v>126.4</v>
      </c>
      <c r="U117">
        <v>120.3</v>
      </c>
      <c r="V117">
        <v>125.5</v>
      </c>
      <c r="W117">
        <v>124.9</v>
      </c>
      <c r="X117">
        <v>114.8</v>
      </c>
      <c r="Y117">
        <v>122.3</v>
      </c>
      <c r="Z117">
        <v>119.7</v>
      </c>
      <c r="AA117">
        <v>108.5</v>
      </c>
      <c r="AB117">
        <v>119.1</v>
      </c>
      <c r="AC117">
        <v>126.4</v>
      </c>
      <c r="AD117">
        <v>117.1</v>
      </c>
      <c r="AE117">
        <v>117.3</v>
      </c>
      <c r="AF117">
        <v>123.8</v>
      </c>
    </row>
    <row r="118" spans="1:32"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R118">
        <v>129.80000000000001</v>
      </c>
      <c r="S118">
        <v>136.5</v>
      </c>
      <c r="T118">
        <v>131.30000000000001</v>
      </c>
      <c r="U118">
        <v>126.1</v>
      </c>
      <c r="V118">
        <v>130.5</v>
      </c>
      <c r="W118">
        <v>124.9</v>
      </c>
      <c r="X118">
        <v>122.4</v>
      </c>
      <c r="Y118">
        <v>125.1</v>
      </c>
      <c r="Z118">
        <v>122.9</v>
      </c>
      <c r="AA118">
        <v>110.9</v>
      </c>
      <c r="AB118">
        <v>120.6</v>
      </c>
      <c r="AC118">
        <v>126.9</v>
      </c>
      <c r="AD118">
        <v>117.3</v>
      </c>
      <c r="AE118">
        <v>119.3</v>
      </c>
      <c r="AF118">
        <v>126</v>
      </c>
    </row>
    <row r="119" spans="1:32"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R119">
        <v>131.80000000000001</v>
      </c>
      <c r="S119">
        <v>135.5</v>
      </c>
      <c r="T119">
        <v>135</v>
      </c>
      <c r="U119">
        <v>130.6</v>
      </c>
      <c r="V119">
        <v>134.4</v>
      </c>
      <c r="W119" t="s">
        <v>32</v>
      </c>
      <c r="X119">
        <v>127</v>
      </c>
      <c r="Y119">
        <v>128</v>
      </c>
      <c r="Z119">
        <v>125.2</v>
      </c>
      <c r="AA119">
        <v>114.4</v>
      </c>
      <c r="AB119">
        <v>123.2</v>
      </c>
      <c r="AC119">
        <v>127.9</v>
      </c>
      <c r="AD119">
        <v>118.4</v>
      </c>
      <c r="AE119">
        <v>121.7</v>
      </c>
      <c r="AF119">
        <v>129</v>
      </c>
    </row>
    <row r="120" spans="1:32"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R120">
        <v>131.80000000000001</v>
      </c>
      <c r="S120">
        <v>141.5</v>
      </c>
      <c r="T120">
        <v>126.8</v>
      </c>
      <c r="U120">
        <v>120.5</v>
      </c>
      <c r="V120">
        <v>125.8</v>
      </c>
      <c r="W120">
        <v>125.6</v>
      </c>
      <c r="X120">
        <v>114.6</v>
      </c>
      <c r="Y120">
        <v>122.8</v>
      </c>
      <c r="Z120">
        <v>120</v>
      </c>
      <c r="AA120">
        <v>110</v>
      </c>
      <c r="AB120">
        <v>119.5</v>
      </c>
      <c r="AC120">
        <v>127.6</v>
      </c>
      <c r="AD120">
        <v>117.6</v>
      </c>
      <c r="AE120">
        <v>118.2</v>
      </c>
      <c r="AF120">
        <v>125.3</v>
      </c>
    </row>
    <row r="121" spans="1:32"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R121">
        <v>131.80000000000001</v>
      </c>
      <c r="S121">
        <v>137.1</v>
      </c>
      <c r="T121">
        <v>131.80000000000001</v>
      </c>
      <c r="U121">
        <v>126.4</v>
      </c>
      <c r="V121">
        <v>131</v>
      </c>
      <c r="W121">
        <v>125.6</v>
      </c>
      <c r="X121">
        <v>122.3</v>
      </c>
      <c r="Y121">
        <v>125.5</v>
      </c>
      <c r="Z121">
        <v>123.2</v>
      </c>
      <c r="AA121">
        <v>112.1</v>
      </c>
      <c r="AB121">
        <v>121.1</v>
      </c>
      <c r="AC121">
        <v>127.7</v>
      </c>
      <c r="AD121">
        <v>118.1</v>
      </c>
      <c r="AE121">
        <v>120</v>
      </c>
      <c r="AF121">
        <v>127.3</v>
      </c>
    </row>
    <row r="122" spans="1:32"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R122">
        <v>133.6</v>
      </c>
      <c r="S122">
        <v>136</v>
      </c>
      <c r="T122">
        <v>135.4</v>
      </c>
      <c r="U122">
        <v>131.1</v>
      </c>
      <c r="V122">
        <v>134.80000000000001</v>
      </c>
      <c r="W122" t="s">
        <v>32</v>
      </c>
      <c r="X122">
        <v>127.4</v>
      </c>
      <c r="Y122">
        <v>128.5</v>
      </c>
      <c r="Z122">
        <v>125.8</v>
      </c>
      <c r="AA122">
        <v>115.1</v>
      </c>
      <c r="AB122">
        <v>123.6</v>
      </c>
      <c r="AC122">
        <v>129.1</v>
      </c>
      <c r="AD122">
        <v>119.7</v>
      </c>
      <c r="AE122">
        <v>122.5</v>
      </c>
      <c r="AF122">
        <v>130.30000000000001</v>
      </c>
    </row>
    <row r="123" spans="1:32"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R123">
        <v>134.6</v>
      </c>
      <c r="S123">
        <v>142.19999999999999</v>
      </c>
      <c r="T123">
        <v>127.2</v>
      </c>
      <c r="U123">
        <v>120.7</v>
      </c>
      <c r="V123">
        <v>126.2</v>
      </c>
      <c r="W123">
        <v>126</v>
      </c>
      <c r="X123">
        <v>115</v>
      </c>
      <c r="Y123">
        <v>123.2</v>
      </c>
      <c r="Z123">
        <v>120.3</v>
      </c>
      <c r="AA123">
        <v>110.7</v>
      </c>
      <c r="AB123">
        <v>119.8</v>
      </c>
      <c r="AC123">
        <v>128</v>
      </c>
      <c r="AD123">
        <v>118.5</v>
      </c>
      <c r="AE123">
        <v>118.7</v>
      </c>
      <c r="AF123">
        <v>126.6</v>
      </c>
    </row>
    <row r="124" spans="1:32"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R124">
        <v>134</v>
      </c>
      <c r="S124">
        <v>137.69999999999999</v>
      </c>
      <c r="T124">
        <v>132.19999999999999</v>
      </c>
      <c r="U124">
        <v>126.8</v>
      </c>
      <c r="V124">
        <v>131.4</v>
      </c>
      <c r="W124">
        <v>126</v>
      </c>
      <c r="X124">
        <v>122.7</v>
      </c>
      <c r="Y124">
        <v>126</v>
      </c>
      <c r="Z124">
        <v>123.7</v>
      </c>
      <c r="AA124">
        <v>112.8</v>
      </c>
      <c r="AB124">
        <v>121.5</v>
      </c>
      <c r="AC124">
        <v>128.5</v>
      </c>
      <c r="AD124">
        <v>119.2</v>
      </c>
      <c r="AE124">
        <v>120.7</v>
      </c>
      <c r="AF124">
        <v>128.6</v>
      </c>
    </row>
    <row r="125" spans="1:32"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R125">
        <v>136</v>
      </c>
      <c r="S125">
        <v>137.19999999999999</v>
      </c>
      <c r="T125">
        <v>136.30000000000001</v>
      </c>
      <c r="U125">
        <v>131.6</v>
      </c>
      <c r="V125">
        <v>135.6</v>
      </c>
      <c r="W125" t="s">
        <v>32</v>
      </c>
      <c r="X125">
        <v>128</v>
      </c>
      <c r="Y125">
        <v>129.30000000000001</v>
      </c>
      <c r="Z125">
        <v>126.2</v>
      </c>
      <c r="AA125">
        <v>116.3</v>
      </c>
      <c r="AB125">
        <v>124.1</v>
      </c>
      <c r="AC125">
        <v>130.19999999999999</v>
      </c>
      <c r="AD125">
        <v>119.9</v>
      </c>
      <c r="AE125">
        <v>123.3</v>
      </c>
      <c r="AF125">
        <v>131.9</v>
      </c>
    </row>
    <row r="126" spans="1:32"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R126">
        <v>138.19999999999999</v>
      </c>
      <c r="S126">
        <v>142.69999999999999</v>
      </c>
      <c r="T126">
        <v>127.6</v>
      </c>
      <c r="U126">
        <v>121.1</v>
      </c>
      <c r="V126">
        <v>126.6</v>
      </c>
      <c r="W126">
        <v>125.5</v>
      </c>
      <c r="X126">
        <v>115.5</v>
      </c>
      <c r="Y126">
        <v>123.2</v>
      </c>
      <c r="Z126">
        <v>120.6</v>
      </c>
      <c r="AA126">
        <v>112.3</v>
      </c>
      <c r="AB126">
        <v>119.9</v>
      </c>
      <c r="AC126">
        <v>129.30000000000001</v>
      </c>
      <c r="AD126">
        <v>118.8</v>
      </c>
      <c r="AE126">
        <v>119.6</v>
      </c>
      <c r="AF126">
        <v>128.1</v>
      </c>
    </row>
    <row r="127" spans="1:32"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R127">
        <v>136.80000000000001</v>
      </c>
      <c r="S127">
        <v>138.69999999999999</v>
      </c>
      <c r="T127">
        <v>132.9</v>
      </c>
      <c r="U127">
        <v>127.2</v>
      </c>
      <c r="V127">
        <v>132</v>
      </c>
      <c r="W127">
        <v>125.5</v>
      </c>
      <c r="X127">
        <v>123.3</v>
      </c>
      <c r="Y127">
        <v>126.4</v>
      </c>
      <c r="Z127">
        <v>124.1</v>
      </c>
      <c r="AA127">
        <v>114.2</v>
      </c>
      <c r="AB127">
        <v>121.7</v>
      </c>
      <c r="AC127">
        <v>129.69999999999999</v>
      </c>
      <c r="AD127">
        <v>119.4</v>
      </c>
      <c r="AE127">
        <v>121.5</v>
      </c>
      <c r="AF127">
        <v>130.1</v>
      </c>
    </row>
    <row r="128" spans="1:32"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R128">
        <v>137.6</v>
      </c>
      <c r="S128">
        <v>138</v>
      </c>
      <c r="T128">
        <v>137.19999999999999</v>
      </c>
      <c r="U128">
        <v>132.19999999999999</v>
      </c>
      <c r="V128">
        <v>136.5</v>
      </c>
      <c r="W128" t="s">
        <v>32</v>
      </c>
      <c r="X128">
        <v>128.19999999999999</v>
      </c>
      <c r="Y128">
        <v>130</v>
      </c>
      <c r="Z128">
        <v>126.7</v>
      </c>
      <c r="AA128">
        <v>116.4</v>
      </c>
      <c r="AB128">
        <v>125.2</v>
      </c>
      <c r="AC128">
        <v>130.80000000000001</v>
      </c>
      <c r="AD128">
        <v>120.9</v>
      </c>
      <c r="AE128">
        <v>123.8</v>
      </c>
      <c r="AF128">
        <v>133</v>
      </c>
    </row>
    <row r="129" spans="1:32"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R129">
        <v>139.80000000000001</v>
      </c>
      <c r="S129">
        <v>142.9</v>
      </c>
      <c r="T129">
        <v>127.9</v>
      </c>
      <c r="U129">
        <v>121.1</v>
      </c>
      <c r="V129">
        <v>126.9</v>
      </c>
      <c r="W129">
        <v>126.4</v>
      </c>
      <c r="X129">
        <v>115.5</v>
      </c>
      <c r="Y129">
        <v>123.5</v>
      </c>
      <c r="Z129">
        <v>120.9</v>
      </c>
      <c r="AA129">
        <v>111.7</v>
      </c>
      <c r="AB129">
        <v>120.3</v>
      </c>
      <c r="AC129">
        <v>130.80000000000001</v>
      </c>
      <c r="AD129">
        <v>120</v>
      </c>
      <c r="AE129">
        <v>119.9</v>
      </c>
      <c r="AF129">
        <v>129</v>
      </c>
    </row>
    <row r="130" spans="1:32"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R130">
        <v>138.4</v>
      </c>
      <c r="S130">
        <v>139.30000000000001</v>
      </c>
      <c r="T130">
        <v>133.5</v>
      </c>
      <c r="U130">
        <v>127.6</v>
      </c>
      <c r="V130">
        <v>132.69999999999999</v>
      </c>
      <c r="W130">
        <v>126.4</v>
      </c>
      <c r="X130">
        <v>123.4</v>
      </c>
      <c r="Y130">
        <v>126.9</v>
      </c>
      <c r="Z130">
        <v>124.5</v>
      </c>
      <c r="AA130">
        <v>113.9</v>
      </c>
      <c r="AB130">
        <v>122.4</v>
      </c>
      <c r="AC130">
        <v>130.80000000000001</v>
      </c>
      <c r="AD130">
        <v>120.5</v>
      </c>
      <c r="AE130">
        <v>121.9</v>
      </c>
      <c r="AF130">
        <v>131.1</v>
      </c>
    </row>
    <row r="131" spans="1:32"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R131">
        <v>138</v>
      </c>
      <c r="S131">
        <v>138.9</v>
      </c>
      <c r="T131">
        <v>137.80000000000001</v>
      </c>
      <c r="U131">
        <v>133</v>
      </c>
      <c r="V131">
        <v>137.1</v>
      </c>
      <c r="W131" t="s">
        <v>32</v>
      </c>
      <c r="X131">
        <v>129.1</v>
      </c>
      <c r="Y131">
        <v>130.6</v>
      </c>
      <c r="Z131">
        <v>127</v>
      </c>
      <c r="AA131">
        <v>116</v>
      </c>
      <c r="AB131">
        <v>125.5</v>
      </c>
      <c r="AC131">
        <v>131.9</v>
      </c>
      <c r="AD131">
        <v>122</v>
      </c>
      <c r="AE131">
        <v>124.2</v>
      </c>
      <c r="AF131">
        <v>133.5</v>
      </c>
    </row>
    <row r="132" spans="1:32"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R132">
        <v>137.6</v>
      </c>
      <c r="S132">
        <v>143.6</v>
      </c>
      <c r="T132">
        <v>128.30000000000001</v>
      </c>
      <c r="U132">
        <v>121.4</v>
      </c>
      <c r="V132">
        <v>127.3</v>
      </c>
      <c r="W132">
        <v>127.3</v>
      </c>
      <c r="X132">
        <v>114.7</v>
      </c>
      <c r="Y132">
        <v>123.9</v>
      </c>
      <c r="Z132">
        <v>121.2</v>
      </c>
      <c r="AA132">
        <v>110.4</v>
      </c>
      <c r="AB132">
        <v>120.6</v>
      </c>
      <c r="AC132">
        <v>131.5</v>
      </c>
      <c r="AD132">
        <v>120.9</v>
      </c>
      <c r="AE132">
        <v>119.9</v>
      </c>
      <c r="AF132">
        <v>128.4</v>
      </c>
    </row>
    <row r="133" spans="1:32"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R133">
        <v>137.9</v>
      </c>
      <c r="S133">
        <v>140.19999999999999</v>
      </c>
      <c r="T133">
        <v>134.1</v>
      </c>
      <c r="U133">
        <v>128.19999999999999</v>
      </c>
      <c r="V133">
        <v>133.19999999999999</v>
      </c>
      <c r="W133">
        <v>127.3</v>
      </c>
      <c r="X133">
        <v>123.6</v>
      </c>
      <c r="Y133">
        <v>127.4</v>
      </c>
      <c r="Z133">
        <v>124.8</v>
      </c>
      <c r="AA133">
        <v>113.1</v>
      </c>
      <c r="AB133">
        <v>122.7</v>
      </c>
      <c r="AC133">
        <v>131.69999999999999</v>
      </c>
      <c r="AD133">
        <v>121.5</v>
      </c>
      <c r="AE133">
        <v>122.1</v>
      </c>
      <c r="AF133">
        <v>131.1</v>
      </c>
    </row>
    <row r="134" spans="1:32"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R134">
        <v>137.19999999999999</v>
      </c>
      <c r="S134">
        <v>139.9</v>
      </c>
      <c r="T134">
        <v>138.5</v>
      </c>
      <c r="U134">
        <v>133.5</v>
      </c>
      <c r="V134">
        <v>137.80000000000001</v>
      </c>
      <c r="W134" t="s">
        <v>32</v>
      </c>
      <c r="X134">
        <v>129.69999999999999</v>
      </c>
      <c r="Y134">
        <v>131.1</v>
      </c>
      <c r="Z134">
        <v>127.8</v>
      </c>
      <c r="AA134">
        <v>117</v>
      </c>
      <c r="AB134">
        <v>125.7</v>
      </c>
      <c r="AC134">
        <v>132.19999999999999</v>
      </c>
      <c r="AD134">
        <v>122.8</v>
      </c>
      <c r="AE134">
        <v>124.9</v>
      </c>
      <c r="AF134">
        <v>133.4</v>
      </c>
    </row>
    <row r="135" spans="1:32"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R135">
        <v>135.69999999999999</v>
      </c>
      <c r="S135">
        <v>143.9</v>
      </c>
      <c r="T135">
        <v>128.69999999999999</v>
      </c>
      <c r="U135">
        <v>121.6</v>
      </c>
      <c r="V135">
        <v>127.7</v>
      </c>
      <c r="W135">
        <v>127.9</v>
      </c>
      <c r="X135">
        <v>114.8</v>
      </c>
      <c r="Y135">
        <v>124.3</v>
      </c>
      <c r="Z135">
        <v>121.4</v>
      </c>
      <c r="AA135">
        <v>111.8</v>
      </c>
      <c r="AB135">
        <v>120.8</v>
      </c>
      <c r="AC135">
        <v>131.6</v>
      </c>
      <c r="AD135">
        <v>121.2</v>
      </c>
      <c r="AE135">
        <v>120.5</v>
      </c>
      <c r="AF135">
        <v>128</v>
      </c>
    </row>
    <row r="136" spans="1:32"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R136">
        <v>136.6</v>
      </c>
      <c r="S136">
        <v>141</v>
      </c>
      <c r="T136">
        <v>134.6</v>
      </c>
      <c r="U136">
        <v>128.6</v>
      </c>
      <c r="V136">
        <v>133.80000000000001</v>
      </c>
      <c r="W136">
        <v>127.9</v>
      </c>
      <c r="X136">
        <v>124.1</v>
      </c>
      <c r="Y136">
        <v>127.9</v>
      </c>
      <c r="Z136">
        <v>125.4</v>
      </c>
      <c r="AA136">
        <v>114.3</v>
      </c>
      <c r="AB136">
        <v>122.9</v>
      </c>
      <c r="AC136">
        <v>131.80000000000001</v>
      </c>
      <c r="AD136">
        <v>122.1</v>
      </c>
      <c r="AE136">
        <v>122.8</v>
      </c>
      <c r="AF136">
        <v>130.9</v>
      </c>
    </row>
    <row r="137" spans="1:32"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R137">
        <v>137.4</v>
      </c>
      <c r="S137">
        <v>140.9</v>
      </c>
      <c r="T137">
        <v>139.6</v>
      </c>
      <c r="U137">
        <v>134.30000000000001</v>
      </c>
      <c r="V137">
        <v>138.80000000000001</v>
      </c>
      <c r="W137" t="s">
        <v>32</v>
      </c>
      <c r="X137">
        <v>129.80000000000001</v>
      </c>
      <c r="Y137">
        <v>131.80000000000001</v>
      </c>
      <c r="Z137">
        <v>128.69999999999999</v>
      </c>
      <c r="AA137">
        <v>117.8</v>
      </c>
      <c r="AB137">
        <v>126.5</v>
      </c>
      <c r="AC137">
        <v>133</v>
      </c>
      <c r="AD137">
        <v>123</v>
      </c>
      <c r="AE137">
        <v>125.7</v>
      </c>
      <c r="AF137">
        <v>133.80000000000001</v>
      </c>
    </row>
    <row r="138" spans="1:32"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R138">
        <v>136.30000000000001</v>
      </c>
      <c r="S138">
        <v>144.30000000000001</v>
      </c>
      <c r="T138">
        <v>129.1</v>
      </c>
      <c r="U138">
        <v>121.9</v>
      </c>
      <c r="V138">
        <v>128</v>
      </c>
      <c r="W138">
        <v>128.69999999999999</v>
      </c>
      <c r="X138">
        <v>115.2</v>
      </c>
      <c r="Y138">
        <v>124.5</v>
      </c>
      <c r="Z138">
        <v>121.8</v>
      </c>
      <c r="AA138">
        <v>112.8</v>
      </c>
      <c r="AB138">
        <v>121.2</v>
      </c>
      <c r="AC138">
        <v>131.9</v>
      </c>
      <c r="AD138">
        <v>120.8</v>
      </c>
      <c r="AE138">
        <v>120.9</v>
      </c>
      <c r="AF138">
        <v>128.6</v>
      </c>
    </row>
    <row r="139" spans="1:32"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R139">
        <v>137</v>
      </c>
      <c r="S139">
        <v>141.80000000000001</v>
      </c>
      <c r="T139">
        <v>135.5</v>
      </c>
      <c r="U139">
        <v>129.1</v>
      </c>
      <c r="V139">
        <v>134.5</v>
      </c>
      <c r="W139">
        <v>128.69999999999999</v>
      </c>
      <c r="X139">
        <v>124.3</v>
      </c>
      <c r="Y139">
        <v>128.4</v>
      </c>
      <c r="Z139">
        <v>126.1</v>
      </c>
      <c r="AA139">
        <v>115.2</v>
      </c>
      <c r="AB139">
        <v>123.5</v>
      </c>
      <c r="AC139">
        <v>132.4</v>
      </c>
      <c r="AD139">
        <v>122.1</v>
      </c>
      <c r="AE139">
        <v>123.4</v>
      </c>
      <c r="AF139">
        <v>131.4</v>
      </c>
    </row>
    <row r="140" spans="1:32"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R140">
        <v>136.6</v>
      </c>
      <c r="S140">
        <v>141.19999999999999</v>
      </c>
      <c r="T140">
        <v>139.9</v>
      </c>
      <c r="U140">
        <v>134.5</v>
      </c>
      <c r="V140">
        <v>139.19999999999999</v>
      </c>
      <c r="W140" t="s">
        <v>32</v>
      </c>
      <c r="X140">
        <v>130.30000000000001</v>
      </c>
      <c r="Y140">
        <v>132.1</v>
      </c>
      <c r="Z140">
        <v>129.1</v>
      </c>
      <c r="AA140">
        <v>118.2</v>
      </c>
      <c r="AB140">
        <v>126.9</v>
      </c>
      <c r="AC140">
        <v>133.69999999999999</v>
      </c>
      <c r="AD140">
        <v>123.5</v>
      </c>
      <c r="AE140">
        <v>126.1</v>
      </c>
      <c r="AF140">
        <v>133.6</v>
      </c>
    </row>
    <row r="141" spans="1:32"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R141">
        <v>135.19999999999999</v>
      </c>
      <c r="S141">
        <v>144.30000000000001</v>
      </c>
      <c r="T141">
        <v>129.6</v>
      </c>
      <c r="U141">
        <v>122.1</v>
      </c>
      <c r="V141">
        <v>128.5</v>
      </c>
      <c r="W141">
        <v>129.1</v>
      </c>
      <c r="X141">
        <v>116.2</v>
      </c>
      <c r="Y141">
        <v>124.7</v>
      </c>
      <c r="Z141">
        <v>122.1</v>
      </c>
      <c r="AA141">
        <v>113.4</v>
      </c>
      <c r="AB141">
        <v>121.7</v>
      </c>
      <c r="AC141">
        <v>132.1</v>
      </c>
      <c r="AD141">
        <v>121.3</v>
      </c>
      <c r="AE141">
        <v>121.3</v>
      </c>
      <c r="AF141">
        <v>128.5</v>
      </c>
    </row>
    <row r="142" spans="1:32"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R142">
        <v>136.1</v>
      </c>
      <c r="S142">
        <v>142</v>
      </c>
      <c r="T142">
        <v>135.80000000000001</v>
      </c>
      <c r="U142">
        <v>129.30000000000001</v>
      </c>
      <c r="V142">
        <v>135</v>
      </c>
      <c r="W142">
        <v>129.1</v>
      </c>
      <c r="X142">
        <v>125</v>
      </c>
      <c r="Y142">
        <v>128.6</v>
      </c>
      <c r="Z142">
        <v>126.4</v>
      </c>
      <c r="AA142">
        <v>115.7</v>
      </c>
      <c r="AB142">
        <v>124</v>
      </c>
      <c r="AC142">
        <v>132.80000000000001</v>
      </c>
      <c r="AD142">
        <v>122.6</v>
      </c>
      <c r="AE142">
        <v>123.8</v>
      </c>
      <c r="AF142">
        <v>131.19999999999999</v>
      </c>
    </row>
    <row r="143" spans="1:32"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R143">
        <v>134.69999999999999</v>
      </c>
      <c r="S143">
        <v>142.4</v>
      </c>
      <c r="T143">
        <v>140.4</v>
      </c>
      <c r="U143">
        <v>135.19999999999999</v>
      </c>
      <c r="V143">
        <v>139.69999999999999</v>
      </c>
      <c r="W143" t="s">
        <v>32</v>
      </c>
      <c r="X143">
        <v>132</v>
      </c>
      <c r="Y143">
        <v>132.9</v>
      </c>
      <c r="Z143">
        <v>129.69999999999999</v>
      </c>
      <c r="AA143">
        <v>118.6</v>
      </c>
      <c r="AB143">
        <v>127.3</v>
      </c>
      <c r="AC143">
        <v>134.19999999999999</v>
      </c>
      <c r="AD143">
        <v>121.9</v>
      </c>
      <c r="AE143">
        <v>126.3</v>
      </c>
      <c r="AF143">
        <v>132.80000000000001</v>
      </c>
    </row>
    <row r="144" spans="1:32"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R144">
        <v>132.80000000000001</v>
      </c>
      <c r="S144">
        <v>145</v>
      </c>
      <c r="T144">
        <v>130</v>
      </c>
      <c r="U144">
        <v>122.2</v>
      </c>
      <c r="V144">
        <v>128.80000000000001</v>
      </c>
      <c r="W144">
        <v>128.5</v>
      </c>
      <c r="X144">
        <v>117.8</v>
      </c>
      <c r="Y144">
        <v>125</v>
      </c>
      <c r="Z144">
        <v>122.3</v>
      </c>
      <c r="AA144">
        <v>113.7</v>
      </c>
      <c r="AB144">
        <v>121.8</v>
      </c>
      <c r="AC144">
        <v>132.30000000000001</v>
      </c>
      <c r="AD144">
        <v>119.9</v>
      </c>
      <c r="AE144">
        <v>121.4</v>
      </c>
      <c r="AF144">
        <v>127.6</v>
      </c>
    </row>
    <row r="145" spans="1:32"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R145">
        <v>134</v>
      </c>
      <c r="S145">
        <v>143.1</v>
      </c>
      <c r="T145">
        <v>136.30000000000001</v>
      </c>
      <c r="U145">
        <v>129.80000000000001</v>
      </c>
      <c r="V145">
        <v>135.4</v>
      </c>
      <c r="W145">
        <v>128.5</v>
      </c>
      <c r="X145">
        <v>126.6</v>
      </c>
      <c r="Y145">
        <v>129.19999999999999</v>
      </c>
      <c r="Z145">
        <v>126.9</v>
      </c>
      <c r="AA145">
        <v>116</v>
      </c>
      <c r="AB145">
        <v>124.2</v>
      </c>
      <c r="AC145">
        <v>133.1</v>
      </c>
      <c r="AD145">
        <v>121.1</v>
      </c>
      <c r="AE145">
        <v>123.9</v>
      </c>
      <c r="AF145">
        <v>130.4</v>
      </c>
    </row>
    <row r="146" spans="1:32"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R146">
        <v>133.69999999999999</v>
      </c>
      <c r="S146">
        <v>143.1</v>
      </c>
      <c r="T146">
        <v>140.69999999999999</v>
      </c>
      <c r="U146">
        <v>135.80000000000001</v>
      </c>
      <c r="V146">
        <v>140</v>
      </c>
      <c r="W146" t="s">
        <v>32</v>
      </c>
      <c r="X146">
        <v>132.1</v>
      </c>
      <c r="Y146">
        <v>133.19999999999999</v>
      </c>
      <c r="Z146">
        <v>129.9</v>
      </c>
      <c r="AA146">
        <v>119.1</v>
      </c>
      <c r="AB146">
        <v>127</v>
      </c>
      <c r="AC146">
        <v>134.6</v>
      </c>
      <c r="AD146">
        <v>122.3</v>
      </c>
      <c r="AE146">
        <v>126.6</v>
      </c>
      <c r="AF146">
        <v>132.4</v>
      </c>
    </row>
    <row r="147" spans="1:32"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R147">
        <v>132</v>
      </c>
      <c r="S147">
        <v>145.6</v>
      </c>
      <c r="T147">
        <v>130.19999999999999</v>
      </c>
      <c r="U147">
        <v>122.3</v>
      </c>
      <c r="V147">
        <v>129</v>
      </c>
      <c r="W147">
        <v>129.6</v>
      </c>
      <c r="X147">
        <v>118</v>
      </c>
      <c r="Y147">
        <v>125.1</v>
      </c>
      <c r="Z147">
        <v>122.6</v>
      </c>
      <c r="AA147">
        <v>115.2</v>
      </c>
      <c r="AB147">
        <v>122</v>
      </c>
      <c r="AC147">
        <v>132.4</v>
      </c>
      <c r="AD147">
        <v>120.9</v>
      </c>
      <c r="AE147">
        <v>122.1</v>
      </c>
      <c r="AF147">
        <v>127.8</v>
      </c>
    </row>
    <row r="148" spans="1:32"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R148">
        <v>133.1</v>
      </c>
      <c r="S148">
        <v>143.80000000000001</v>
      </c>
      <c r="T148">
        <v>136.6</v>
      </c>
      <c r="U148">
        <v>130.19999999999999</v>
      </c>
      <c r="V148">
        <v>135.6</v>
      </c>
      <c r="W148">
        <v>129.6</v>
      </c>
      <c r="X148">
        <v>126.8</v>
      </c>
      <c r="Y148">
        <v>129.4</v>
      </c>
      <c r="Z148">
        <v>127.1</v>
      </c>
      <c r="AA148">
        <v>117</v>
      </c>
      <c r="AB148">
        <v>124.2</v>
      </c>
      <c r="AC148">
        <v>133.30000000000001</v>
      </c>
      <c r="AD148">
        <v>121.7</v>
      </c>
      <c r="AE148">
        <v>124.4</v>
      </c>
      <c r="AF148">
        <v>130.30000000000001</v>
      </c>
    </row>
    <row r="149" spans="1:32"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R149">
        <v>133.6</v>
      </c>
      <c r="S149">
        <v>143.69999999999999</v>
      </c>
      <c r="T149">
        <v>140.9</v>
      </c>
      <c r="U149">
        <v>135.80000000000001</v>
      </c>
      <c r="V149">
        <v>140.19999999999999</v>
      </c>
      <c r="W149" t="s">
        <v>32</v>
      </c>
      <c r="X149">
        <v>133.19999999999999</v>
      </c>
      <c r="Y149">
        <v>133.6</v>
      </c>
      <c r="Z149">
        <v>130.1</v>
      </c>
      <c r="AA149">
        <v>119.5</v>
      </c>
      <c r="AB149">
        <v>127.7</v>
      </c>
      <c r="AC149">
        <v>134.9</v>
      </c>
      <c r="AD149">
        <v>123.2</v>
      </c>
      <c r="AE149">
        <v>127</v>
      </c>
      <c r="AF149">
        <v>132.6</v>
      </c>
    </row>
    <row r="150" spans="1:32"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R150">
        <v>132.1</v>
      </c>
      <c r="S150">
        <v>146.30000000000001</v>
      </c>
      <c r="T150">
        <v>130.5</v>
      </c>
      <c r="U150">
        <v>122.5</v>
      </c>
      <c r="V150">
        <v>129.30000000000001</v>
      </c>
      <c r="W150">
        <v>130.5</v>
      </c>
      <c r="X150">
        <v>119.2</v>
      </c>
      <c r="Y150">
        <v>125.3</v>
      </c>
      <c r="Z150">
        <v>122.9</v>
      </c>
      <c r="AA150">
        <v>115.5</v>
      </c>
      <c r="AB150">
        <v>122.2</v>
      </c>
      <c r="AC150">
        <v>132.4</v>
      </c>
      <c r="AD150">
        <v>121.7</v>
      </c>
      <c r="AE150">
        <v>122.4</v>
      </c>
      <c r="AF150">
        <v>128.19999999999999</v>
      </c>
    </row>
    <row r="151" spans="1:32"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R151">
        <v>133</v>
      </c>
      <c r="S151">
        <v>144.4</v>
      </c>
      <c r="T151">
        <v>136.80000000000001</v>
      </c>
      <c r="U151">
        <v>130.30000000000001</v>
      </c>
      <c r="V151">
        <v>135.9</v>
      </c>
      <c r="W151">
        <v>130.5</v>
      </c>
      <c r="X151">
        <v>127.9</v>
      </c>
      <c r="Y151">
        <v>129.69999999999999</v>
      </c>
      <c r="Z151">
        <v>127.4</v>
      </c>
      <c r="AA151">
        <v>117.4</v>
      </c>
      <c r="AB151">
        <v>124.6</v>
      </c>
      <c r="AC151">
        <v>133.4</v>
      </c>
      <c r="AD151">
        <v>122.6</v>
      </c>
      <c r="AE151">
        <v>124.8</v>
      </c>
      <c r="AF151">
        <v>130.6</v>
      </c>
    </row>
    <row r="152" spans="1:32"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R152">
        <v>133.4</v>
      </c>
      <c r="S152">
        <v>144.19999999999999</v>
      </c>
      <c r="T152">
        <v>141.6</v>
      </c>
      <c r="U152">
        <v>136.19999999999999</v>
      </c>
      <c r="V152">
        <v>140.80000000000001</v>
      </c>
      <c r="W152" t="s">
        <v>32</v>
      </c>
      <c r="X152">
        <v>134.19999999999999</v>
      </c>
      <c r="Y152">
        <v>134.1</v>
      </c>
      <c r="Z152">
        <v>130.6</v>
      </c>
      <c r="AA152">
        <v>119.8</v>
      </c>
      <c r="AB152">
        <v>128.30000000000001</v>
      </c>
      <c r="AC152">
        <v>135.19999999999999</v>
      </c>
      <c r="AD152">
        <v>123.3</v>
      </c>
      <c r="AE152">
        <v>127.4</v>
      </c>
      <c r="AF152">
        <v>132.80000000000001</v>
      </c>
    </row>
    <row r="153" spans="1:32"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R153">
        <v>132.6</v>
      </c>
      <c r="S153">
        <v>147.5</v>
      </c>
      <c r="T153">
        <v>130.80000000000001</v>
      </c>
      <c r="U153">
        <v>122.8</v>
      </c>
      <c r="V153">
        <v>129.6</v>
      </c>
      <c r="W153">
        <v>131.1</v>
      </c>
      <c r="X153">
        <v>120.8</v>
      </c>
      <c r="Y153">
        <v>125.6</v>
      </c>
      <c r="Z153">
        <v>123.1</v>
      </c>
      <c r="AA153">
        <v>115.6</v>
      </c>
      <c r="AB153">
        <v>122.4</v>
      </c>
      <c r="AC153">
        <v>132.80000000000001</v>
      </c>
      <c r="AD153">
        <v>121.7</v>
      </c>
      <c r="AE153">
        <v>122.6</v>
      </c>
      <c r="AF153">
        <v>128.69999999999999</v>
      </c>
    </row>
    <row r="154" spans="1:32"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R154">
        <v>133.1</v>
      </c>
      <c r="S154">
        <v>145.1</v>
      </c>
      <c r="T154">
        <v>137.30000000000001</v>
      </c>
      <c r="U154">
        <v>130.6</v>
      </c>
      <c r="V154">
        <v>136.4</v>
      </c>
      <c r="W154">
        <v>131.1</v>
      </c>
      <c r="X154">
        <v>129.1</v>
      </c>
      <c r="Y154">
        <v>130.1</v>
      </c>
      <c r="Z154">
        <v>127.8</v>
      </c>
      <c r="AA154">
        <v>117.6</v>
      </c>
      <c r="AB154">
        <v>125</v>
      </c>
      <c r="AC154">
        <v>133.80000000000001</v>
      </c>
      <c r="AD154">
        <v>122.6</v>
      </c>
      <c r="AE154">
        <v>125.1</v>
      </c>
      <c r="AF154">
        <v>130.9</v>
      </c>
    </row>
    <row r="155" spans="1:32"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R155">
        <v>133.5</v>
      </c>
      <c r="S155">
        <v>144.4</v>
      </c>
      <c r="T155">
        <v>142.4</v>
      </c>
      <c r="U155">
        <v>136.80000000000001</v>
      </c>
      <c r="V155">
        <v>141.6</v>
      </c>
      <c r="W155" t="s">
        <v>32</v>
      </c>
      <c r="X155">
        <v>135</v>
      </c>
      <c r="Y155">
        <v>134.30000000000001</v>
      </c>
      <c r="Z155">
        <v>131</v>
      </c>
      <c r="AA155">
        <v>119.2</v>
      </c>
      <c r="AB155">
        <v>128.30000000000001</v>
      </c>
      <c r="AC155">
        <v>135.69999999999999</v>
      </c>
      <c r="AD155">
        <v>123.7</v>
      </c>
      <c r="AE155">
        <v>127.5</v>
      </c>
      <c r="AF155">
        <v>132.9</v>
      </c>
    </row>
    <row r="156" spans="1:32"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R156">
        <v>133.4</v>
      </c>
      <c r="S156">
        <v>148</v>
      </c>
      <c r="T156">
        <v>131.19999999999999</v>
      </c>
      <c r="U156">
        <v>123</v>
      </c>
      <c r="V156">
        <v>130</v>
      </c>
      <c r="W156">
        <v>131.69999999999999</v>
      </c>
      <c r="X156">
        <v>121.4</v>
      </c>
      <c r="Y156">
        <v>126</v>
      </c>
      <c r="Z156">
        <v>123.4</v>
      </c>
      <c r="AA156">
        <v>114.3</v>
      </c>
      <c r="AB156">
        <v>122.6</v>
      </c>
      <c r="AC156">
        <v>133.6</v>
      </c>
      <c r="AD156">
        <v>122.2</v>
      </c>
      <c r="AE156">
        <v>122.5</v>
      </c>
      <c r="AF156">
        <v>129.1</v>
      </c>
    </row>
    <row r="157" spans="1:32"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R157">
        <v>133.5</v>
      </c>
      <c r="S157">
        <v>145.4</v>
      </c>
      <c r="T157">
        <v>138</v>
      </c>
      <c r="U157">
        <v>131.1</v>
      </c>
      <c r="V157">
        <v>137</v>
      </c>
      <c r="W157">
        <v>131.69999999999999</v>
      </c>
      <c r="X157">
        <v>129.80000000000001</v>
      </c>
      <c r="Y157">
        <v>130.4</v>
      </c>
      <c r="Z157">
        <v>128.1</v>
      </c>
      <c r="AA157">
        <v>116.6</v>
      </c>
      <c r="AB157">
        <v>125.1</v>
      </c>
      <c r="AC157">
        <v>134.5</v>
      </c>
      <c r="AD157">
        <v>123.1</v>
      </c>
      <c r="AE157">
        <v>125.1</v>
      </c>
      <c r="AF157">
        <v>131.1</v>
      </c>
    </row>
    <row r="158" spans="1:32"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R158">
        <v>133.80000000000001</v>
      </c>
      <c r="S158">
        <v>145.5</v>
      </c>
      <c r="T158">
        <v>142.5</v>
      </c>
      <c r="U158">
        <v>137.30000000000001</v>
      </c>
      <c r="V158">
        <v>141.80000000000001</v>
      </c>
      <c r="W158" t="s">
        <v>32</v>
      </c>
      <c r="X158">
        <v>135</v>
      </c>
      <c r="Y158">
        <v>134.9</v>
      </c>
      <c r="Z158">
        <v>131.4</v>
      </c>
      <c r="AA158">
        <v>119.4</v>
      </c>
      <c r="AB158">
        <v>129.4</v>
      </c>
      <c r="AC158">
        <v>136.30000000000001</v>
      </c>
      <c r="AD158">
        <v>123.7</v>
      </c>
      <c r="AE158">
        <v>127.9</v>
      </c>
      <c r="AF158">
        <v>133.30000000000001</v>
      </c>
    </row>
    <row r="159" spans="1:32"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R159">
        <v>133.6</v>
      </c>
      <c r="S159">
        <v>148.30000000000001</v>
      </c>
      <c r="T159">
        <v>131.5</v>
      </c>
      <c r="U159">
        <v>123.2</v>
      </c>
      <c r="V159">
        <v>130.19999999999999</v>
      </c>
      <c r="W159">
        <v>132.1</v>
      </c>
      <c r="X159">
        <v>120.1</v>
      </c>
      <c r="Y159">
        <v>126.5</v>
      </c>
      <c r="Z159">
        <v>123.6</v>
      </c>
      <c r="AA159">
        <v>114.3</v>
      </c>
      <c r="AB159">
        <v>122.8</v>
      </c>
      <c r="AC159">
        <v>133.80000000000001</v>
      </c>
      <c r="AD159">
        <v>122</v>
      </c>
      <c r="AE159">
        <v>122.6</v>
      </c>
      <c r="AF159">
        <v>129.30000000000001</v>
      </c>
    </row>
    <row r="160" spans="1:32"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R160">
        <v>133.69999999999999</v>
      </c>
      <c r="S160">
        <v>146.19999999999999</v>
      </c>
      <c r="T160">
        <v>138.19999999999999</v>
      </c>
      <c r="U160">
        <v>131.4</v>
      </c>
      <c r="V160">
        <v>137.19999999999999</v>
      </c>
      <c r="W160">
        <v>132.1</v>
      </c>
      <c r="X160">
        <v>129.4</v>
      </c>
      <c r="Y160">
        <v>130.9</v>
      </c>
      <c r="Z160">
        <v>128.4</v>
      </c>
      <c r="AA160">
        <v>116.7</v>
      </c>
      <c r="AB160">
        <v>125.7</v>
      </c>
      <c r="AC160">
        <v>134.80000000000001</v>
      </c>
      <c r="AD160">
        <v>123</v>
      </c>
      <c r="AE160">
        <v>125.3</v>
      </c>
      <c r="AF160">
        <v>131.4</v>
      </c>
    </row>
    <row r="161" spans="1:32"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R161">
        <v>134.9</v>
      </c>
      <c r="S161">
        <v>145.80000000000001</v>
      </c>
      <c r="T161">
        <v>143.1</v>
      </c>
      <c r="U161">
        <v>137.69999999999999</v>
      </c>
      <c r="V161">
        <v>142.30000000000001</v>
      </c>
      <c r="W161" t="s">
        <v>32</v>
      </c>
      <c r="X161">
        <v>134.80000000000001</v>
      </c>
      <c r="Y161">
        <v>135.19999999999999</v>
      </c>
      <c r="Z161">
        <v>131.30000000000001</v>
      </c>
      <c r="AA161">
        <v>119.4</v>
      </c>
      <c r="AB161">
        <v>129.80000000000001</v>
      </c>
      <c r="AC161">
        <v>136.9</v>
      </c>
      <c r="AD161">
        <v>124.1</v>
      </c>
      <c r="AE161">
        <v>128.1</v>
      </c>
      <c r="AF161">
        <v>133.9</v>
      </c>
    </row>
    <row r="162" spans="1:32"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R162">
        <v>135.69999999999999</v>
      </c>
      <c r="S162">
        <v>148.6</v>
      </c>
      <c r="T162">
        <v>131.5</v>
      </c>
      <c r="U162">
        <v>123.2</v>
      </c>
      <c r="V162">
        <v>130.19999999999999</v>
      </c>
      <c r="W162">
        <v>131.4</v>
      </c>
      <c r="X162">
        <v>119</v>
      </c>
      <c r="Y162">
        <v>126.8</v>
      </c>
      <c r="Z162">
        <v>123.8</v>
      </c>
      <c r="AA162">
        <v>113.9</v>
      </c>
      <c r="AB162">
        <v>122.9</v>
      </c>
      <c r="AC162">
        <v>134.30000000000001</v>
      </c>
      <c r="AD162">
        <v>122.5</v>
      </c>
      <c r="AE162">
        <v>122.7</v>
      </c>
      <c r="AF162">
        <v>129.9</v>
      </c>
    </row>
    <row r="163" spans="1:32"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R163">
        <v>135.19999999999999</v>
      </c>
      <c r="S163">
        <v>146.5</v>
      </c>
      <c r="T163">
        <v>138.5</v>
      </c>
      <c r="U163">
        <v>131.69999999999999</v>
      </c>
      <c r="V163">
        <v>137.5</v>
      </c>
      <c r="W163">
        <v>131.4</v>
      </c>
      <c r="X163">
        <v>128.80000000000001</v>
      </c>
      <c r="Y163">
        <v>131.19999999999999</v>
      </c>
      <c r="Z163">
        <v>128.5</v>
      </c>
      <c r="AA163">
        <v>116.5</v>
      </c>
      <c r="AB163">
        <v>125.9</v>
      </c>
      <c r="AC163">
        <v>135.4</v>
      </c>
      <c r="AD163">
        <v>123.4</v>
      </c>
      <c r="AE163">
        <v>125.5</v>
      </c>
      <c r="AF163">
        <v>132</v>
      </c>
    </row>
    <row r="164" spans="1:32"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R164">
        <v>138.5</v>
      </c>
      <c r="S164">
        <v>147.4</v>
      </c>
      <c r="T164">
        <v>144.30000000000001</v>
      </c>
      <c r="U164">
        <v>138.1</v>
      </c>
      <c r="V164">
        <v>143.5</v>
      </c>
      <c r="W164" t="s">
        <v>32</v>
      </c>
      <c r="X164">
        <v>135.30000000000001</v>
      </c>
      <c r="Y164">
        <v>136.1</v>
      </c>
      <c r="Z164">
        <v>132.1</v>
      </c>
      <c r="AA164">
        <v>119.1</v>
      </c>
      <c r="AB164">
        <v>130.6</v>
      </c>
      <c r="AC164">
        <v>138.6</v>
      </c>
      <c r="AD164">
        <v>124.4</v>
      </c>
      <c r="AE164">
        <v>128.6</v>
      </c>
      <c r="AF164">
        <v>136.19999999999999</v>
      </c>
    </row>
    <row r="165" spans="1:32"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R165">
        <v>139.80000000000001</v>
      </c>
      <c r="S165">
        <v>150.5</v>
      </c>
      <c r="T165">
        <v>131.6</v>
      </c>
      <c r="U165">
        <v>123.7</v>
      </c>
      <c r="V165">
        <v>130.4</v>
      </c>
      <c r="W165">
        <v>132.6</v>
      </c>
      <c r="X165">
        <v>119.7</v>
      </c>
      <c r="Y165">
        <v>127.2</v>
      </c>
      <c r="Z165">
        <v>125</v>
      </c>
      <c r="AA165">
        <v>113.2</v>
      </c>
      <c r="AB165">
        <v>123.5</v>
      </c>
      <c r="AC165">
        <v>135.5</v>
      </c>
      <c r="AD165">
        <v>122.4</v>
      </c>
      <c r="AE165">
        <v>123</v>
      </c>
      <c r="AF165">
        <v>131.80000000000001</v>
      </c>
    </row>
    <row r="166" spans="1:32"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R166">
        <v>139</v>
      </c>
      <c r="S166">
        <v>148.19999999999999</v>
      </c>
      <c r="T166">
        <v>139.30000000000001</v>
      </c>
      <c r="U166">
        <v>132.1</v>
      </c>
      <c r="V166">
        <v>138.30000000000001</v>
      </c>
      <c r="W166">
        <v>132.6</v>
      </c>
      <c r="X166">
        <v>129.4</v>
      </c>
      <c r="Y166">
        <v>131.9</v>
      </c>
      <c r="Z166">
        <v>129.4</v>
      </c>
      <c r="AA166">
        <v>116</v>
      </c>
      <c r="AB166">
        <v>126.6</v>
      </c>
      <c r="AC166">
        <v>136.80000000000001</v>
      </c>
      <c r="AD166">
        <v>123.6</v>
      </c>
      <c r="AE166">
        <v>125.9</v>
      </c>
      <c r="AF166">
        <v>134.19999999999999</v>
      </c>
    </row>
    <row r="167" spans="1:32"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R167">
        <v>140.6</v>
      </c>
      <c r="S167">
        <v>149</v>
      </c>
      <c r="T167">
        <v>145.30000000000001</v>
      </c>
      <c r="U167">
        <v>139.19999999999999</v>
      </c>
      <c r="V167">
        <v>144.5</v>
      </c>
      <c r="W167" t="s">
        <v>32</v>
      </c>
      <c r="X167">
        <v>136.4</v>
      </c>
      <c r="Y167">
        <v>137.30000000000001</v>
      </c>
      <c r="Z167">
        <v>133</v>
      </c>
      <c r="AA167">
        <v>120.3</v>
      </c>
      <c r="AB167">
        <v>131.5</v>
      </c>
      <c r="AC167">
        <v>140.19999999999999</v>
      </c>
      <c r="AD167">
        <v>125.4</v>
      </c>
      <c r="AE167">
        <v>129.69999999999999</v>
      </c>
      <c r="AF167">
        <v>137.80000000000001</v>
      </c>
    </row>
    <row r="168" spans="1:32"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R168">
        <v>140.5</v>
      </c>
      <c r="S168">
        <v>152.1</v>
      </c>
      <c r="T168">
        <v>132.69999999999999</v>
      </c>
      <c r="U168">
        <v>124.3</v>
      </c>
      <c r="V168">
        <v>131.4</v>
      </c>
      <c r="W168">
        <v>134.4</v>
      </c>
      <c r="X168">
        <v>118.9</v>
      </c>
      <c r="Y168">
        <v>127.7</v>
      </c>
      <c r="Z168">
        <v>125.7</v>
      </c>
      <c r="AA168">
        <v>114.6</v>
      </c>
      <c r="AB168">
        <v>124.1</v>
      </c>
      <c r="AC168">
        <v>135.69999999999999</v>
      </c>
      <c r="AD168">
        <v>123.3</v>
      </c>
      <c r="AE168">
        <v>123.8</v>
      </c>
      <c r="AF168">
        <v>132.69999999999999</v>
      </c>
    </row>
    <row r="169" spans="1:32"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R169">
        <v>140.6</v>
      </c>
      <c r="S169">
        <v>149.80000000000001</v>
      </c>
      <c r="T169">
        <v>140.30000000000001</v>
      </c>
      <c r="U169">
        <v>133</v>
      </c>
      <c r="V169">
        <v>139.30000000000001</v>
      </c>
      <c r="W169">
        <v>134.4</v>
      </c>
      <c r="X169">
        <v>129.80000000000001</v>
      </c>
      <c r="Y169">
        <v>132.80000000000001</v>
      </c>
      <c r="Z169">
        <v>130.19999999999999</v>
      </c>
      <c r="AA169">
        <v>117.3</v>
      </c>
      <c r="AB169">
        <v>127.3</v>
      </c>
      <c r="AC169">
        <v>137.6</v>
      </c>
      <c r="AD169">
        <v>124.5</v>
      </c>
      <c r="AE169">
        <v>126.8</v>
      </c>
      <c r="AF169">
        <v>135.4</v>
      </c>
    </row>
    <row r="170" spans="1:32"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R170">
        <v>139.6</v>
      </c>
      <c r="S170">
        <v>149.80000000000001</v>
      </c>
      <c r="T170">
        <v>146.1</v>
      </c>
      <c r="U170">
        <v>139.69999999999999</v>
      </c>
      <c r="V170">
        <v>145.19999999999999</v>
      </c>
      <c r="W170" t="s">
        <v>32</v>
      </c>
      <c r="X170">
        <v>137.4</v>
      </c>
      <c r="Y170">
        <v>137.9</v>
      </c>
      <c r="Z170">
        <v>133.4</v>
      </c>
      <c r="AA170">
        <v>121.2</v>
      </c>
      <c r="AB170">
        <v>132.30000000000001</v>
      </c>
      <c r="AC170">
        <v>139.6</v>
      </c>
      <c r="AD170">
        <v>126.7</v>
      </c>
      <c r="AE170">
        <v>130.30000000000001</v>
      </c>
      <c r="AF170">
        <v>137.6</v>
      </c>
    </row>
    <row r="171" spans="1:32"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R171">
        <v>138</v>
      </c>
      <c r="S171">
        <v>153.6</v>
      </c>
      <c r="T171">
        <v>133.30000000000001</v>
      </c>
      <c r="U171">
        <v>124.6</v>
      </c>
      <c r="V171">
        <v>132</v>
      </c>
      <c r="W171">
        <v>135.69999999999999</v>
      </c>
      <c r="X171">
        <v>120.6</v>
      </c>
      <c r="Y171">
        <v>128.1</v>
      </c>
      <c r="Z171">
        <v>126.1</v>
      </c>
      <c r="AA171">
        <v>115.7</v>
      </c>
      <c r="AB171">
        <v>124.5</v>
      </c>
      <c r="AC171">
        <v>135.9</v>
      </c>
      <c r="AD171">
        <v>124.4</v>
      </c>
      <c r="AE171">
        <v>124.5</v>
      </c>
      <c r="AF171">
        <v>132.4</v>
      </c>
    </row>
    <row r="172" spans="1:32"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R172">
        <v>139</v>
      </c>
      <c r="S172">
        <v>150.80000000000001</v>
      </c>
      <c r="T172">
        <v>141.1</v>
      </c>
      <c r="U172">
        <v>133.4</v>
      </c>
      <c r="V172">
        <v>140</v>
      </c>
      <c r="W172">
        <v>135.69999999999999</v>
      </c>
      <c r="X172">
        <v>131</v>
      </c>
      <c r="Y172">
        <v>133.30000000000001</v>
      </c>
      <c r="Z172">
        <v>130.6</v>
      </c>
      <c r="AA172">
        <v>118.3</v>
      </c>
      <c r="AB172">
        <v>127.9</v>
      </c>
      <c r="AC172">
        <v>137.4</v>
      </c>
      <c r="AD172">
        <v>125.7</v>
      </c>
      <c r="AE172">
        <v>127.5</v>
      </c>
      <c r="AF172">
        <v>135.19999999999999</v>
      </c>
    </row>
    <row r="173" spans="1:32"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R173">
        <v>140.4</v>
      </c>
      <c r="S173">
        <v>150.5</v>
      </c>
      <c r="T173">
        <v>147.19999999999999</v>
      </c>
      <c r="U173">
        <v>140.6</v>
      </c>
      <c r="V173">
        <v>146.19999999999999</v>
      </c>
      <c r="W173" t="s">
        <v>32</v>
      </c>
      <c r="X173">
        <v>138.1</v>
      </c>
      <c r="Y173">
        <v>138.4</v>
      </c>
      <c r="Z173">
        <v>134.19999999999999</v>
      </c>
      <c r="AA173">
        <v>121</v>
      </c>
      <c r="AB173">
        <v>133</v>
      </c>
      <c r="AC173">
        <v>140.1</v>
      </c>
      <c r="AD173">
        <v>127.4</v>
      </c>
      <c r="AE173">
        <v>130.69999999999999</v>
      </c>
      <c r="AF173">
        <v>138.30000000000001</v>
      </c>
    </row>
    <row r="174" spans="1:32"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R174">
        <v>139.69999999999999</v>
      </c>
      <c r="S174">
        <v>154.6</v>
      </c>
      <c r="T174">
        <v>134</v>
      </c>
      <c r="U174">
        <v>124.9</v>
      </c>
      <c r="V174">
        <v>132.6</v>
      </c>
      <c r="W174">
        <v>137.30000000000001</v>
      </c>
      <c r="X174">
        <v>122.6</v>
      </c>
      <c r="Y174">
        <v>128.30000000000001</v>
      </c>
      <c r="Z174">
        <v>126.6</v>
      </c>
      <c r="AA174">
        <v>115</v>
      </c>
      <c r="AB174">
        <v>124.8</v>
      </c>
      <c r="AC174">
        <v>136.30000000000001</v>
      </c>
      <c r="AD174">
        <v>124.6</v>
      </c>
      <c r="AE174">
        <v>124.5</v>
      </c>
      <c r="AF174">
        <v>133.5</v>
      </c>
    </row>
    <row r="175" spans="1:32"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R175">
        <v>140.1</v>
      </c>
      <c r="S175">
        <v>151.6</v>
      </c>
      <c r="T175">
        <v>142</v>
      </c>
      <c r="U175">
        <v>134.1</v>
      </c>
      <c r="V175">
        <v>140.80000000000001</v>
      </c>
      <c r="W175">
        <v>137.30000000000001</v>
      </c>
      <c r="X175">
        <v>132.19999999999999</v>
      </c>
      <c r="Y175">
        <v>133.6</v>
      </c>
      <c r="Z175">
        <v>131.30000000000001</v>
      </c>
      <c r="AA175">
        <v>117.8</v>
      </c>
      <c r="AB175">
        <v>128.4</v>
      </c>
      <c r="AC175">
        <v>137.9</v>
      </c>
      <c r="AD175">
        <v>126.2</v>
      </c>
      <c r="AE175">
        <v>127.7</v>
      </c>
      <c r="AF175">
        <v>136.1</v>
      </c>
    </row>
    <row r="176" spans="1:32"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R176">
        <v>142.4</v>
      </c>
      <c r="S176">
        <v>152.1</v>
      </c>
      <c r="T176">
        <v>148.19999999999999</v>
      </c>
      <c r="U176">
        <v>141.5</v>
      </c>
      <c r="V176">
        <v>147.30000000000001</v>
      </c>
      <c r="W176" t="s">
        <v>32</v>
      </c>
      <c r="X176">
        <v>141.1</v>
      </c>
      <c r="Y176">
        <v>139.4</v>
      </c>
      <c r="Z176">
        <v>135.80000000000001</v>
      </c>
      <c r="AA176">
        <v>121.6</v>
      </c>
      <c r="AB176">
        <v>133.69999999999999</v>
      </c>
      <c r="AC176">
        <v>141.5</v>
      </c>
      <c r="AD176">
        <v>128.1</v>
      </c>
      <c r="AE176">
        <v>131.69999999999999</v>
      </c>
      <c r="AF176">
        <v>140</v>
      </c>
    </row>
    <row r="177" spans="1:32"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R177">
        <v>141.5</v>
      </c>
      <c r="S177">
        <v>156.19999999999999</v>
      </c>
      <c r="T177">
        <v>135</v>
      </c>
      <c r="U177">
        <v>125.4</v>
      </c>
      <c r="V177">
        <v>133.5</v>
      </c>
      <c r="W177">
        <v>138.6</v>
      </c>
      <c r="X177">
        <v>125.7</v>
      </c>
      <c r="Y177">
        <v>128.80000000000001</v>
      </c>
      <c r="Z177">
        <v>127.4</v>
      </c>
      <c r="AA177">
        <v>115.3</v>
      </c>
      <c r="AB177">
        <v>125.1</v>
      </c>
      <c r="AC177">
        <v>136.6</v>
      </c>
      <c r="AD177">
        <v>124.9</v>
      </c>
      <c r="AE177">
        <v>124.9</v>
      </c>
      <c r="AF177">
        <v>134.80000000000001</v>
      </c>
    </row>
    <row r="178" spans="1:32"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R178">
        <v>142.1</v>
      </c>
      <c r="S178">
        <v>153.19999999999999</v>
      </c>
      <c r="T178">
        <v>143</v>
      </c>
      <c r="U178">
        <v>134.80000000000001</v>
      </c>
      <c r="V178">
        <v>141.80000000000001</v>
      </c>
      <c r="W178">
        <v>138.6</v>
      </c>
      <c r="X178">
        <v>135.30000000000001</v>
      </c>
      <c r="Y178">
        <v>134.4</v>
      </c>
      <c r="Z178">
        <v>132.6</v>
      </c>
      <c r="AA178">
        <v>118.3</v>
      </c>
      <c r="AB178">
        <v>128.9</v>
      </c>
      <c r="AC178">
        <v>138.6</v>
      </c>
      <c r="AD178">
        <v>126.8</v>
      </c>
      <c r="AE178">
        <v>128.4</v>
      </c>
      <c r="AF178">
        <v>137.6</v>
      </c>
    </row>
    <row r="179" spans="1:32"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R179">
        <v>141.5</v>
      </c>
      <c r="S179">
        <v>153.19999999999999</v>
      </c>
      <c r="T179">
        <v>148</v>
      </c>
      <c r="U179">
        <v>141.9</v>
      </c>
      <c r="V179">
        <v>147.19999999999999</v>
      </c>
      <c r="W179" t="s">
        <v>32</v>
      </c>
      <c r="X179">
        <v>142.6</v>
      </c>
      <c r="Y179">
        <v>139.5</v>
      </c>
      <c r="Z179">
        <v>136.1</v>
      </c>
      <c r="AA179">
        <v>122</v>
      </c>
      <c r="AB179">
        <v>133.4</v>
      </c>
      <c r="AC179">
        <v>141.1</v>
      </c>
      <c r="AD179">
        <v>127.8</v>
      </c>
      <c r="AE179">
        <v>131.9</v>
      </c>
      <c r="AF179">
        <v>139.80000000000001</v>
      </c>
    </row>
    <row r="180" spans="1:32"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R180">
        <v>138.80000000000001</v>
      </c>
      <c r="S180">
        <v>157</v>
      </c>
      <c r="T180">
        <v>135.6</v>
      </c>
      <c r="U180">
        <v>125.6</v>
      </c>
      <c r="V180">
        <v>134</v>
      </c>
      <c r="W180">
        <v>139.1</v>
      </c>
      <c r="X180">
        <v>126.8</v>
      </c>
      <c r="Y180">
        <v>129.30000000000001</v>
      </c>
      <c r="Z180">
        <v>128.19999999999999</v>
      </c>
      <c r="AA180">
        <v>115.3</v>
      </c>
      <c r="AB180">
        <v>125.6</v>
      </c>
      <c r="AC180">
        <v>136.69999999999999</v>
      </c>
      <c r="AD180">
        <v>124.6</v>
      </c>
      <c r="AE180">
        <v>125.1</v>
      </c>
      <c r="AF180">
        <v>134.1</v>
      </c>
    </row>
    <row r="181" spans="1:32"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R181">
        <v>140.5</v>
      </c>
      <c r="S181">
        <v>154.19999999999999</v>
      </c>
      <c r="T181">
        <v>143.1</v>
      </c>
      <c r="U181">
        <v>135.1</v>
      </c>
      <c r="V181">
        <v>142</v>
      </c>
      <c r="W181">
        <v>139.1</v>
      </c>
      <c r="X181">
        <v>136.6</v>
      </c>
      <c r="Y181">
        <v>134.69999999999999</v>
      </c>
      <c r="Z181">
        <v>133.1</v>
      </c>
      <c r="AA181">
        <v>118.5</v>
      </c>
      <c r="AB181">
        <v>129</v>
      </c>
      <c r="AC181">
        <v>138.5</v>
      </c>
      <c r="AD181">
        <v>126.5</v>
      </c>
      <c r="AE181">
        <v>128.6</v>
      </c>
      <c r="AF181">
        <v>137.19999999999999</v>
      </c>
    </row>
    <row r="182" spans="1:32"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R182">
        <v>140.4</v>
      </c>
      <c r="S182">
        <v>153.6</v>
      </c>
      <c r="T182">
        <v>148.30000000000001</v>
      </c>
      <c r="U182">
        <v>142.30000000000001</v>
      </c>
      <c r="V182">
        <v>147.5</v>
      </c>
      <c r="W182" t="s">
        <v>32</v>
      </c>
      <c r="X182">
        <v>142.30000000000001</v>
      </c>
      <c r="Y182">
        <v>139.80000000000001</v>
      </c>
      <c r="Z182">
        <v>136</v>
      </c>
      <c r="AA182">
        <v>122.7</v>
      </c>
      <c r="AB182">
        <v>134.30000000000001</v>
      </c>
      <c r="AC182">
        <v>141.6</v>
      </c>
      <c r="AD182">
        <v>128.6</v>
      </c>
      <c r="AE182">
        <v>132.30000000000001</v>
      </c>
      <c r="AF182">
        <v>139.30000000000001</v>
      </c>
    </row>
    <row r="183" spans="1:32"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R183">
        <v>137.19999999999999</v>
      </c>
      <c r="S183">
        <v>157.69999999999999</v>
      </c>
      <c r="T183">
        <v>136</v>
      </c>
      <c r="U183">
        <v>125.9</v>
      </c>
      <c r="V183">
        <v>134.4</v>
      </c>
      <c r="W183">
        <v>140.4</v>
      </c>
      <c r="X183">
        <v>127.3</v>
      </c>
      <c r="Y183">
        <v>129.5</v>
      </c>
      <c r="Z183">
        <v>129</v>
      </c>
      <c r="AA183">
        <v>116.3</v>
      </c>
      <c r="AB183">
        <v>126.2</v>
      </c>
      <c r="AC183">
        <v>137.1</v>
      </c>
      <c r="AD183">
        <v>125.5</v>
      </c>
      <c r="AE183">
        <v>125.8</v>
      </c>
      <c r="AF183">
        <v>134.1</v>
      </c>
    </row>
    <row r="184" spans="1:32"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R184">
        <v>139.19999999999999</v>
      </c>
      <c r="S184">
        <v>154.69999999999999</v>
      </c>
      <c r="T184">
        <v>143.5</v>
      </c>
      <c r="U184">
        <v>135.5</v>
      </c>
      <c r="V184">
        <v>142.30000000000001</v>
      </c>
      <c r="W184">
        <v>140.4</v>
      </c>
      <c r="X184">
        <v>136.6</v>
      </c>
      <c r="Y184">
        <v>134.9</v>
      </c>
      <c r="Z184">
        <v>133.30000000000001</v>
      </c>
      <c r="AA184">
        <v>119.3</v>
      </c>
      <c r="AB184">
        <v>129.69999999999999</v>
      </c>
      <c r="AC184">
        <v>139</v>
      </c>
      <c r="AD184">
        <v>127.3</v>
      </c>
      <c r="AE184">
        <v>129.1</v>
      </c>
      <c r="AF184">
        <v>136.9</v>
      </c>
    </row>
    <row r="185" spans="1:32"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R185">
        <v>138.69999999999999</v>
      </c>
      <c r="S185">
        <v>153.30000000000001</v>
      </c>
      <c r="T185">
        <v>148.69999999999999</v>
      </c>
      <c r="U185">
        <v>142.4</v>
      </c>
      <c r="V185">
        <v>147.80000000000001</v>
      </c>
      <c r="W185" t="s">
        <v>32</v>
      </c>
      <c r="X185">
        <v>142.4</v>
      </c>
      <c r="Y185">
        <v>139.9</v>
      </c>
      <c r="Z185">
        <v>136.19999999999999</v>
      </c>
      <c r="AA185">
        <v>123.3</v>
      </c>
      <c r="AB185">
        <v>134.30000000000001</v>
      </c>
      <c r="AC185">
        <v>141.5</v>
      </c>
      <c r="AD185">
        <v>128.80000000000001</v>
      </c>
      <c r="AE185">
        <v>132.5</v>
      </c>
      <c r="AF185">
        <v>138.5</v>
      </c>
    </row>
    <row r="186" spans="1:32"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R186">
        <v>135.6</v>
      </c>
      <c r="S186">
        <v>159.30000000000001</v>
      </c>
      <c r="T186">
        <v>136.30000000000001</v>
      </c>
      <c r="U186">
        <v>126.1</v>
      </c>
      <c r="V186">
        <v>134.69999999999999</v>
      </c>
      <c r="W186">
        <v>141.30000000000001</v>
      </c>
      <c r="X186">
        <v>127.3</v>
      </c>
      <c r="Y186">
        <v>129.9</v>
      </c>
      <c r="Z186">
        <v>129.80000000000001</v>
      </c>
      <c r="AA186">
        <v>117.4</v>
      </c>
      <c r="AB186">
        <v>126.5</v>
      </c>
      <c r="AC186">
        <v>137.19999999999999</v>
      </c>
      <c r="AD186">
        <v>126.2</v>
      </c>
      <c r="AE186">
        <v>126.5</v>
      </c>
      <c r="AF186">
        <v>134</v>
      </c>
    </row>
    <row r="187" spans="1:32"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R187">
        <v>137.6</v>
      </c>
      <c r="S187">
        <v>154.9</v>
      </c>
      <c r="T187">
        <v>143.80000000000001</v>
      </c>
      <c r="U187">
        <v>135.6</v>
      </c>
      <c r="V187">
        <v>142.6</v>
      </c>
      <c r="W187">
        <v>141.30000000000001</v>
      </c>
      <c r="X187">
        <v>136.69999999999999</v>
      </c>
      <c r="Y187">
        <v>135.19999999999999</v>
      </c>
      <c r="Z187">
        <v>133.80000000000001</v>
      </c>
      <c r="AA187">
        <v>120.2</v>
      </c>
      <c r="AB187">
        <v>129.9</v>
      </c>
      <c r="AC187">
        <v>139</v>
      </c>
      <c r="AD187">
        <v>127.7</v>
      </c>
      <c r="AE187">
        <v>129.6</v>
      </c>
      <c r="AF187">
        <v>136.4</v>
      </c>
    </row>
    <row r="188" spans="1:32"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R188">
        <v>138.6</v>
      </c>
      <c r="S188">
        <v>155.1</v>
      </c>
      <c r="T188">
        <v>149.19999999999999</v>
      </c>
      <c r="U188">
        <v>143</v>
      </c>
      <c r="V188">
        <v>148.30000000000001</v>
      </c>
      <c r="W188" t="s">
        <v>32</v>
      </c>
      <c r="X188">
        <v>142.6</v>
      </c>
      <c r="Y188">
        <v>139.9</v>
      </c>
      <c r="Z188">
        <v>136.69999999999999</v>
      </c>
      <c r="AA188">
        <v>124.6</v>
      </c>
      <c r="AB188">
        <v>135.1</v>
      </c>
      <c r="AC188">
        <v>142.69999999999999</v>
      </c>
      <c r="AD188">
        <v>129.30000000000001</v>
      </c>
      <c r="AE188">
        <v>133.30000000000001</v>
      </c>
      <c r="AF188">
        <v>138.69999999999999</v>
      </c>
    </row>
    <row r="189" spans="1:32"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R189">
        <v>134.80000000000001</v>
      </c>
      <c r="S189">
        <v>159.69999999999999</v>
      </c>
      <c r="T189">
        <v>136.69999999999999</v>
      </c>
      <c r="U189">
        <v>126.7</v>
      </c>
      <c r="V189">
        <v>135.19999999999999</v>
      </c>
      <c r="W189">
        <v>142</v>
      </c>
      <c r="X189">
        <v>126.4</v>
      </c>
      <c r="Y189">
        <v>130.80000000000001</v>
      </c>
      <c r="Z189">
        <v>130.5</v>
      </c>
      <c r="AA189">
        <v>117.8</v>
      </c>
      <c r="AB189">
        <v>126.8</v>
      </c>
      <c r="AC189">
        <v>137.80000000000001</v>
      </c>
      <c r="AD189">
        <v>126.7</v>
      </c>
      <c r="AE189">
        <v>127.1</v>
      </c>
      <c r="AF189">
        <v>134</v>
      </c>
    </row>
    <row r="190" spans="1:32"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R190">
        <v>137.19999999999999</v>
      </c>
      <c r="S190">
        <v>156.30000000000001</v>
      </c>
      <c r="T190">
        <v>144.30000000000001</v>
      </c>
      <c r="U190">
        <v>136.19999999999999</v>
      </c>
      <c r="V190">
        <v>143.1</v>
      </c>
      <c r="W190">
        <v>142</v>
      </c>
      <c r="X190">
        <v>136.5</v>
      </c>
      <c r="Y190">
        <v>135.6</v>
      </c>
      <c r="Z190">
        <v>134.30000000000001</v>
      </c>
      <c r="AA190">
        <v>121</v>
      </c>
      <c r="AB190">
        <v>130.4</v>
      </c>
      <c r="AC190">
        <v>139.80000000000001</v>
      </c>
      <c r="AD190">
        <v>128.19999999999999</v>
      </c>
      <c r="AE190">
        <v>130.30000000000001</v>
      </c>
      <c r="AF190">
        <v>136.5</v>
      </c>
    </row>
    <row r="191" spans="1:32"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R191">
        <v>138.6</v>
      </c>
      <c r="S191">
        <v>156.1</v>
      </c>
      <c r="T191">
        <v>150.1</v>
      </c>
      <c r="U191">
        <v>143.30000000000001</v>
      </c>
      <c r="V191">
        <v>149.1</v>
      </c>
      <c r="W191" t="s">
        <v>32</v>
      </c>
      <c r="X191">
        <v>143.80000000000001</v>
      </c>
      <c r="Y191">
        <v>140.9</v>
      </c>
      <c r="Z191">
        <v>137.6</v>
      </c>
      <c r="AA191">
        <v>125.3</v>
      </c>
      <c r="AB191">
        <v>136</v>
      </c>
      <c r="AC191">
        <v>143.69999999999999</v>
      </c>
      <c r="AD191">
        <v>130.4</v>
      </c>
      <c r="AE191">
        <v>134.19999999999999</v>
      </c>
      <c r="AF191">
        <v>139.1</v>
      </c>
    </row>
    <row r="192" spans="1:32"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R192">
        <v>135.69999999999999</v>
      </c>
      <c r="S192">
        <v>159.19999999999999</v>
      </c>
      <c r="T192">
        <v>137.80000000000001</v>
      </c>
      <c r="U192">
        <v>127.4</v>
      </c>
      <c r="V192">
        <v>136.19999999999999</v>
      </c>
      <c r="W192">
        <v>142.9</v>
      </c>
      <c r="X192">
        <v>124.6</v>
      </c>
      <c r="Y192">
        <v>131.80000000000001</v>
      </c>
      <c r="Z192">
        <v>131.30000000000001</v>
      </c>
      <c r="AA192">
        <v>118.9</v>
      </c>
      <c r="AB192">
        <v>127.6</v>
      </c>
      <c r="AC192">
        <v>139.69999999999999</v>
      </c>
      <c r="AD192">
        <v>127.6</v>
      </c>
      <c r="AE192">
        <v>128.19999999999999</v>
      </c>
      <c r="AF192">
        <v>134.80000000000001</v>
      </c>
    </row>
    <row r="193" spans="1:32"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R193">
        <v>137.5</v>
      </c>
      <c r="S193">
        <v>156.9</v>
      </c>
      <c r="T193">
        <v>145.30000000000001</v>
      </c>
      <c r="U193">
        <v>136.69999999999999</v>
      </c>
      <c r="V193">
        <v>144</v>
      </c>
      <c r="W193">
        <v>142.9</v>
      </c>
      <c r="X193">
        <v>136.5</v>
      </c>
      <c r="Y193">
        <v>136.6</v>
      </c>
      <c r="Z193">
        <v>135.19999999999999</v>
      </c>
      <c r="AA193">
        <v>121.9</v>
      </c>
      <c r="AB193">
        <v>131.30000000000001</v>
      </c>
      <c r="AC193">
        <v>141.4</v>
      </c>
      <c r="AD193">
        <v>129.19999999999999</v>
      </c>
      <c r="AE193">
        <v>131.30000000000001</v>
      </c>
      <c r="AF193">
        <v>137.1</v>
      </c>
    </row>
    <row r="194" spans="1:32"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R194">
        <v>139.1</v>
      </c>
      <c r="S194">
        <v>157</v>
      </c>
      <c r="T194">
        <v>150.80000000000001</v>
      </c>
      <c r="U194">
        <v>144.1</v>
      </c>
      <c r="V194">
        <v>149.80000000000001</v>
      </c>
      <c r="W194" t="s">
        <v>32</v>
      </c>
      <c r="X194">
        <v>144.30000000000001</v>
      </c>
      <c r="Y194">
        <v>141.80000000000001</v>
      </c>
      <c r="Z194">
        <v>138.4</v>
      </c>
      <c r="AA194">
        <v>126.4</v>
      </c>
      <c r="AB194">
        <v>136.80000000000001</v>
      </c>
      <c r="AC194">
        <v>144.4</v>
      </c>
      <c r="AD194">
        <v>131.19999999999999</v>
      </c>
      <c r="AE194">
        <v>135.1</v>
      </c>
      <c r="AF194">
        <v>139.80000000000001</v>
      </c>
    </row>
    <row r="195" spans="1:32"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R195">
        <v>136.4</v>
      </c>
      <c r="S195">
        <v>160.30000000000001</v>
      </c>
      <c r="T195">
        <v>138.6</v>
      </c>
      <c r="U195">
        <v>127.9</v>
      </c>
      <c r="V195">
        <v>137</v>
      </c>
      <c r="W195">
        <v>143.19999999999999</v>
      </c>
      <c r="X195">
        <v>124.7</v>
      </c>
      <c r="Y195">
        <v>132.5</v>
      </c>
      <c r="Z195">
        <v>132</v>
      </c>
      <c r="AA195">
        <v>119.8</v>
      </c>
      <c r="AB195">
        <v>128</v>
      </c>
      <c r="AC195">
        <v>140.4</v>
      </c>
      <c r="AD195">
        <v>128.1</v>
      </c>
      <c r="AE195">
        <v>128.9</v>
      </c>
      <c r="AF195">
        <v>135.4</v>
      </c>
    </row>
    <row r="196" spans="1:32"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R196">
        <v>138.1</v>
      </c>
      <c r="S196">
        <v>157.9</v>
      </c>
      <c r="T196">
        <v>146</v>
      </c>
      <c r="U196">
        <v>137.4</v>
      </c>
      <c r="V196">
        <v>144.69999999999999</v>
      </c>
      <c r="W196">
        <v>143.19999999999999</v>
      </c>
      <c r="X196">
        <v>136.9</v>
      </c>
      <c r="Y196">
        <v>137.4</v>
      </c>
      <c r="Z196">
        <v>136</v>
      </c>
      <c r="AA196">
        <v>122.9</v>
      </c>
      <c r="AB196">
        <v>131.80000000000001</v>
      </c>
      <c r="AC196">
        <v>142.1</v>
      </c>
      <c r="AD196">
        <v>129.9</v>
      </c>
      <c r="AE196">
        <v>132.1</v>
      </c>
      <c r="AF196">
        <v>137.80000000000001</v>
      </c>
    </row>
    <row r="197" spans="1:32"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R197">
        <v>140</v>
      </c>
      <c r="S197">
        <v>157.30000000000001</v>
      </c>
      <c r="T197">
        <v>151.30000000000001</v>
      </c>
      <c r="U197">
        <v>144.69999999999999</v>
      </c>
      <c r="V197">
        <v>150.30000000000001</v>
      </c>
      <c r="W197" t="s">
        <v>32</v>
      </c>
      <c r="X197">
        <v>145.1</v>
      </c>
      <c r="Y197">
        <v>142.19999999999999</v>
      </c>
      <c r="Z197">
        <v>138.4</v>
      </c>
      <c r="AA197">
        <v>127.4</v>
      </c>
      <c r="AB197">
        <v>137.80000000000001</v>
      </c>
      <c r="AC197">
        <v>145.1</v>
      </c>
      <c r="AD197">
        <v>131.4</v>
      </c>
      <c r="AE197">
        <v>135.6</v>
      </c>
      <c r="AF197">
        <v>140.5</v>
      </c>
    </row>
    <row r="198" spans="1:32"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R198">
        <v>138.4</v>
      </c>
      <c r="S198">
        <v>161</v>
      </c>
      <c r="T198">
        <v>138.9</v>
      </c>
      <c r="U198">
        <v>128.69999999999999</v>
      </c>
      <c r="V198">
        <v>137.4</v>
      </c>
      <c r="W198">
        <v>142.5</v>
      </c>
      <c r="X198">
        <v>126.5</v>
      </c>
      <c r="Y198">
        <v>133.1</v>
      </c>
      <c r="Z198">
        <v>132.6</v>
      </c>
      <c r="AA198">
        <v>120.4</v>
      </c>
      <c r="AB198">
        <v>128.5</v>
      </c>
      <c r="AC198">
        <v>141.19999999999999</v>
      </c>
      <c r="AD198">
        <v>128.19999999999999</v>
      </c>
      <c r="AE198">
        <v>129.5</v>
      </c>
      <c r="AF198">
        <v>136.19999999999999</v>
      </c>
    </row>
    <row r="199" spans="1:32"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R199">
        <v>139.4</v>
      </c>
      <c r="S199">
        <v>158.30000000000001</v>
      </c>
      <c r="T199">
        <v>146.4</v>
      </c>
      <c r="U199">
        <v>138.1</v>
      </c>
      <c r="V199">
        <v>145.19999999999999</v>
      </c>
      <c r="W199">
        <v>142.5</v>
      </c>
      <c r="X199">
        <v>138.1</v>
      </c>
      <c r="Y199">
        <v>137.9</v>
      </c>
      <c r="Z199">
        <v>136.19999999999999</v>
      </c>
      <c r="AA199">
        <v>123.7</v>
      </c>
      <c r="AB199">
        <v>132.6</v>
      </c>
      <c r="AC199">
        <v>142.80000000000001</v>
      </c>
      <c r="AD199">
        <v>130.1</v>
      </c>
      <c r="AE199">
        <v>132.6</v>
      </c>
      <c r="AF199">
        <v>138.5</v>
      </c>
    </row>
    <row r="200" spans="1:32"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R200">
        <v>142</v>
      </c>
      <c r="S200">
        <v>156.1</v>
      </c>
      <c r="T200">
        <v>151.5</v>
      </c>
      <c r="U200">
        <v>145.1</v>
      </c>
      <c r="V200">
        <v>150.6</v>
      </c>
      <c r="W200" t="s">
        <v>32</v>
      </c>
      <c r="X200">
        <v>146.80000000000001</v>
      </c>
      <c r="Y200">
        <v>143.1</v>
      </c>
      <c r="Z200">
        <v>139</v>
      </c>
      <c r="AA200">
        <v>127.5</v>
      </c>
      <c r="AB200">
        <v>138.4</v>
      </c>
      <c r="AC200">
        <v>145.80000000000001</v>
      </c>
      <c r="AD200">
        <v>131.4</v>
      </c>
      <c r="AE200">
        <v>136</v>
      </c>
      <c r="AF200">
        <v>141.80000000000001</v>
      </c>
    </row>
    <row r="201" spans="1:32"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R201">
        <v>140.30000000000001</v>
      </c>
      <c r="S201">
        <v>161.4</v>
      </c>
      <c r="T201">
        <v>139.6</v>
      </c>
      <c r="U201">
        <v>128.9</v>
      </c>
      <c r="V201">
        <v>137.9</v>
      </c>
      <c r="W201">
        <v>143.6</v>
      </c>
      <c r="X201">
        <v>128.1</v>
      </c>
      <c r="Y201">
        <v>133.6</v>
      </c>
      <c r="Z201">
        <v>133.6</v>
      </c>
      <c r="AA201">
        <v>120.1</v>
      </c>
      <c r="AB201">
        <v>129</v>
      </c>
      <c r="AC201">
        <v>144</v>
      </c>
      <c r="AD201">
        <v>128.19999999999999</v>
      </c>
      <c r="AE201">
        <v>130.19999999999999</v>
      </c>
      <c r="AF201">
        <v>137.5</v>
      </c>
    </row>
    <row r="202" spans="1:32"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R202">
        <v>141.4</v>
      </c>
      <c r="S202">
        <v>157.5</v>
      </c>
      <c r="T202">
        <v>146.80000000000001</v>
      </c>
      <c r="U202">
        <v>138.4</v>
      </c>
      <c r="V202">
        <v>145.6</v>
      </c>
      <c r="W202">
        <v>143.6</v>
      </c>
      <c r="X202">
        <v>139.69999999999999</v>
      </c>
      <c r="Y202">
        <v>138.6</v>
      </c>
      <c r="Z202">
        <v>137</v>
      </c>
      <c r="AA202">
        <v>123.6</v>
      </c>
      <c r="AB202">
        <v>133.1</v>
      </c>
      <c r="AC202">
        <v>144.69999999999999</v>
      </c>
      <c r="AD202">
        <v>130.1</v>
      </c>
      <c r="AE202">
        <v>133.19999999999999</v>
      </c>
      <c r="AF202">
        <v>139.80000000000001</v>
      </c>
    </row>
    <row r="203" spans="1:32"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R203">
        <v>142.69999999999999</v>
      </c>
      <c r="S203">
        <v>156.4</v>
      </c>
      <c r="T203">
        <v>152.1</v>
      </c>
      <c r="U203">
        <v>145.80000000000001</v>
      </c>
      <c r="V203">
        <v>151.30000000000001</v>
      </c>
      <c r="W203" t="s">
        <v>32</v>
      </c>
      <c r="X203">
        <v>147.69999999999999</v>
      </c>
      <c r="Y203">
        <v>143.80000000000001</v>
      </c>
      <c r="Z203">
        <v>139.4</v>
      </c>
      <c r="AA203">
        <v>128.30000000000001</v>
      </c>
      <c r="AB203">
        <v>138.6</v>
      </c>
      <c r="AC203">
        <v>146.9</v>
      </c>
      <c r="AD203">
        <v>131.30000000000001</v>
      </c>
      <c r="AE203">
        <v>136.6</v>
      </c>
      <c r="AF203">
        <v>142.5</v>
      </c>
    </row>
    <row r="204" spans="1:32"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R204">
        <v>140.1</v>
      </c>
      <c r="S204">
        <v>162.1</v>
      </c>
      <c r="T204">
        <v>140</v>
      </c>
      <c r="U204">
        <v>129</v>
      </c>
      <c r="V204">
        <v>138.30000000000001</v>
      </c>
      <c r="W204">
        <v>144.6</v>
      </c>
      <c r="X204">
        <v>129.80000000000001</v>
      </c>
      <c r="Y204">
        <v>134.4</v>
      </c>
      <c r="Z204">
        <v>134.9</v>
      </c>
      <c r="AA204">
        <v>120.7</v>
      </c>
      <c r="AB204">
        <v>129.80000000000001</v>
      </c>
      <c r="AC204">
        <v>145.30000000000001</v>
      </c>
      <c r="AD204">
        <v>128.30000000000001</v>
      </c>
      <c r="AE204">
        <v>131</v>
      </c>
      <c r="AF204">
        <v>138</v>
      </c>
    </row>
    <row r="205" spans="1:32"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R205">
        <v>141.69999999999999</v>
      </c>
      <c r="S205">
        <v>157.9</v>
      </c>
      <c r="T205">
        <v>147.30000000000001</v>
      </c>
      <c r="U205">
        <v>138.80000000000001</v>
      </c>
      <c r="V205">
        <v>146.1</v>
      </c>
      <c r="W205">
        <v>144.6</v>
      </c>
      <c r="X205">
        <v>140.9</v>
      </c>
      <c r="Y205">
        <v>139.4</v>
      </c>
      <c r="Z205">
        <v>137.69999999999999</v>
      </c>
      <c r="AA205">
        <v>124.3</v>
      </c>
      <c r="AB205">
        <v>133.6</v>
      </c>
      <c r="AC205">
        <v>146</v>
      </c>
      <c r="AD205">
        <v>130.1</v>
      </c>
      <c r="AE205">
        <v>133.9</v>
      </c>
      <c r="AF205">
        <v>140.4</v>
      </c>
    </row>
    <row r="206" spans="1:32"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R206">
        <v>141.30000000000001</v>
      </c>
      <c r="S206">
        <v>157.69999999999999</v>
      </c>
      <c r="T206">
        <v>152.1</v>
      </c>
      <c r="U206">
        <v>146.1</v>
      </c>
      <c r="V206">
        <v>151.30000000000001</v>
      </c>
      <c r="W206" t="s">
        <v>32</v>
      </c>
      <c r="X206">
        <v>149</v>
      </c>
      <c r="Y206">
        <v>144</v>
      </c>
      <c r="Z206">
        <v>140</v>
      </c>
      <c r="AA206">
        <v>129.9</v>
      </c>
      <c r="AB206">
        <v>140</v>
      </c>
      <c r="AC206">
        <v>147.6</v>
      </c>
      <c r="AD206">
        <v>132</v>
      </c>
      <c r="AE206">
        <v>137.4</v>
      </c>
      <c r="AF206">
        <v>142.1</v>
      </c>
    </row>
    <row r="207" spans="1:32"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R207">
        <v>138.9</v>
      </c>
      <c r="S207">
        <v>163.30000000000001</v>
      </c>
      <c r="T207">
        <v>140.80000000000001</v>
      </c>
      <c r="U207">
        <v>129.30000000000001</v>
      </c>
      <c r="V207">
        <v>139.1</v>
      </c>
      <c r="W207">
        <v>145.30000000000001</v>
      </c>
      <c r="X207">
        <v>131.19999999999999</v>
      </c>
      <c r="Y207">
        <v>134.9</v>
      </c>
      <c r="Z207">
        <v>135.69999999999999</v>
      </c>
      <c r="AA207">
        <v>122.5</v>
      </c>
      <c r="AB207">
        <v>130.19999999999999</v>
      </c>
      <c r="AC207">
        <v>145.19999999999999</v>
      </c>
      <c r="AD207">
        <v>129.30000000000001</v>
      </c>
      <c r="AE207">
        <v>131.9</v>
      </c>
      <c r="AF207">
        <v>138.1</v>
      </c>
    </row>
    <row r="208" spans="1:32"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R208">
        <v>140.4</v>
      </c>
      <c r="S208">
        <v>159.19999999999999</v>
      </c>
      <c r="T208">
        <v>147.69999999999999</v>
      </c>
      <c r="U208">
        <v>139.1</v>
      </c>
      <c r="V208">
        <v>146.5</v>
      </c>
      <c r="W208">
        <v>145.30000000000001</v>
      </c>
      <c r="X208">
        <v>142.30000000000001</v>
      </c>
      <c r="Y208">
        <v>139.69999999999999</v>
      </c>
      <c r="Z208">
        <v>138.4</v>
      </c>
      <c r="AA208">
        <v>126</v>
      </c>
      <c r="AB208">
        <v>134.5</v>
      </c>
      <c r="AC208">
        <v>146.19999999999999</v>
      </c>
      <c r="AD208">
        <v>130.9</v>
      </c>
      <c r="AE208">
        <v>134.69999999999999</v>
      </c>
      <c r="AF208">
        <v>140.19999999999999</v>
      </c>
    </row>
    <row r="209" spans="1:32"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R209">
        <v>140.19999999999999</v>
      </c>
      <c r="S209">
        <v>159.6</v>
      </c>
      <c r="T209">
        <v>150.69999999999999</v>
      </c>
      <c r="U209">
        <v>144.5</v>
      </c>
      <c r="V209">
        <v>149.80000000000001</v>
      </c>
      <c r="W209" t="s">
        <v>32</v>
      </c>
      <c r="X209">
        <v>149.69999999999999</v>
      </c>
      <c r="Y209">
        <v>147.5</v>
      </c>
      <c r="Z209">
        <v>144.80000000000001</v>
      </c>
      <c r="AA209">
        <v>130.80000000000001</v>
      </c>
      <c r="AB209">
        <v>140.1</v>
      </c>
      <c r="AC209">
        <v>148</v>
      </c>
      <c r="AD209">
        <v>134.4</v>
      </c>
      <c r="AE209">
        <v>139.80000000000001</v>
      </c>
      <c r="AF209">
        <v>142.19999999999999</v>
      </c>
    </row>
    <row r="210" spans="1:32"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R210">
        <v>139.4</v>
      </c>
      <c r="S210">
        <v>164</v>
      </c>
      <c r="T210">
        <v>141.5</v>
      </c>
      <c r="U210">
        <v>129.80000000000001</v>
      </c>
      <c r="V210">
        <v>139.69999999999999</v>
      </c>
      <c r="W210">
        <v>146.30000000000001</v>
      </c>
      <c r="X210">
        <v>133.4</v>
      </c>
      <c r="Y210">
        <v>135.1</v>
      </c>
      <c r="Z210">
        <v>136.19999999999999</v>
      </c>
      <c r="AA210">
        <v>123.3</v>
      </c>
      <c r="AB210">
        <v>130.69999999999999</v>
      </c>
      <c r="AC210">
        <v>145.5</v>
      </c>
      <c r="AD210">
        <v>130.4</v>
      </c>
      <c r="AE210">
        <v>132.5</v>
      </c>
      <c r="AF210">
        <v>138.9</v>
      </c>
    </row>
    <row r="211" spans="1:32"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R211">
        <v>139.69999999999999</v>
      </c>
      <c r="S211">
        <v>162.6</v>
      </c>
      <c r="T211">
        <v>148</v>
      </c>
      <c r="U211">
        <v>139.19999999999999</v>
      </c>
      <c r="V211">
        <v>146.80000000000001</v>
      </c>
      <c r="W211">
        <v>146.9</v>
      </c>
      <c r="X211">
        <v>145.30000000000001</v>
      </c>
      <c r="Y211">
        <v>142.19999999999999</v>
      </c>
      <c r="Z211">
        <v>142.1</v>
      </c>
      <c r="AA211">
        <v>125.5</v>
      </c>
      <c r="AB211">
        <v>136.5</v>
      </c>
      <c r="AC211">
        <v>147.80000000000001</v>
      </c>
      <c r="AD211">
        <v>132</v>
      </c>
      <c r="AE211">
        <v>136.30000000000001</v>
      </c>
      <c r="AF211">
        <v>140.80000000000001</v>
      </c>
    </row>
    <row r="212" spans="1:32"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R212">
        <v>140</v>
      </c>
      <c r="S212">
        <v>161.9</v>
      </c>
      <c r="T212">
        <v>151.69999999999999</v>
      </c>
      <c r="U212">
        <v>145.5</v>
      </c>
      <c r="V212">
        <v>150.80000000000001</v>
      </c>
      <c r="W212" t="s">
        <v>32</v>
      </c>
      <c r="X212">
        <v>150.30000000000001</v>
      </c>
      <c r="Y212">
        <v>148</v>
      </c>
      <c r="Z212">
        <v>145.4</v>
      </c>
      <c r="AA212">
        <v>130.30000000000001</v>
      </c>
      <c r="AB212">
        <v>143.1</v>
      </c>
      <c r="AC212">
        <v>150.19999999999999</v>
      </c>
      <c r="AD212">
        <v>133.1</v>
      </c>
      <c r="AE212">
        <v>140.1</v>
      </c>
      <c r="AF212">
        <v>142.4</v>
      </c>
    </row>
    <row r="213" spans="1:32"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R213">
        <v>139.1</v>
      </c>
      <c r="S213">
        <v>164.4</v>
      </c>
      <c r="T213">
        <v>142.4</v>
      </c>
      <c r="U213">
        <v>130.19999999999999</v>
      </c>
      <c r="V213">
        <v>140.5</v>
      </c>
      <c r="W213">
        <v>146.9</v>
      </c>
      <c r="X213">
        <v>136.69999999999999</v>
      </c>
      <c r="Y213">
        <v>135.80000000000001</v>
      </c>
      <c r="Z213">
        <v>136.80000000000001</v>
      </c>
      <c r="AA213">
        <v>121.2</v>
      </c>
      <c r="AB213">
        <v>131.30000000000001</v>
      </c>
      <c r="AC213">
        <v>146.1</v>
      </c>
      <c r="AD213">
        <v>130.5</v>
      </c>
      <c r="AE213">
        <v>132.19999999999999</v>
      </c>
      <c r="AF213">
        <v>139</v>
      </c>
    </row>
    <row r="214" spans="1:32"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R214">
        <v>139.69999999999999</v>
      </c>
      <c r="S214">
        <v>162.6</v>
      </c>
      <c r="T214">
        <v>148</v>
      </c>
      <c r="U214">
        <v>139.1</v>
      </c>
      <c r="V214">
        <v>146.69999999999999</v>
      </c>
      <c r="W214">
        <v>146.9</v>
      </c>
      <c r="X214">
        <v>145.1</v>
      </c>
      <c r="Y214">
        <v>142.19999999999999</v>
      </c>
      <c r="Z214">
        <v>142.1</v>
      </c>
      <c r="AA214">
        <v>125.5</v>
      </c>
      <c r="AB214">
        <v>136.5</v>
      </c>
      <c r="AC214">
        <v>147.80000000000001</v>
      </c>
      <c r="AD214">
        <v>132</v>
      </c>
      <c r="AE214">
        <v>136.30000000000001</v>
      </c>
      <c r="AF214">
        <v>140.80000000000001</v>
      </c>
    </row>
    <row r="215" spans="1:32"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R215">
        <v>138.5</v>
      </c>
      <c r="S215">
        <v>162.4</v>
      </c>
      <c r="T215">
        <v>151.6</v>
      </c>
      <c r="U215">
        <v>145.9</v>
      </c>
      <c r="V215">
        <v>150.80000000000001</v>
      </c>
      <c r="W215" t="s">
        <v>32</v>
      </c>
      <c r="X215">
        <v>149</v>
      </c>
      <c r="Y215">
        <v>149.5</v>
      </c>
      <c r="Z215">
        <v>149.6</v>
      </c>
      <c r="AA215">
        <v>128.9</v>
      </c>
      <c r="AB215">
        <v>143.30000000000001</v>
      </c>
      <c r="AC215">
        <v>155.1</v>
      </c>
      <c r="AD215">
        <v>133.19999999999999</v>
      </c>
      <c r="AE215">
        <v>141.6</v>
      </c>
      <c r="AF215">
        <v>141.9</v>
      </c>
    </row>
    <row r="216" spans="1:32"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R216">
        <v>137.6</v>
      </c>
      <c r="S216">
        <v>164.6</v>
      </c>
      <c r="T216">
        <v>142.69999999999999</v>
      </c>
      <c r="U216">
        <v>130.30000000000001</v>
      </c>
      <c r="V216">
        <v>140.80000000000001</v>
      </c>
      <c r="W216">
        <v>146.5</v>
      </c>
      <c r="X216">
        <v>132.4</v>
      </c>
      <c r="Y216">
        <v>136.19999999999999</v>
      </c>
      <c r="Z216">
        <v>137.30000000000001</v>
      </c>
      <c r="AA216">
        <v>118.8</v>
      </c>
      <c r="AB216">
        <v>131.69999999999999</v>
      </c>
      <c r="AC216">
        <v>146.5</v>
      </c>
      <c r="AD216">
        <v>130.80000000000001</v>
      </c>
      <c r="AE216">
        <v>131.69999999999999</v>
      </c>
      <c r="AF216">
        <v>138</v>
      </c>
    </row>
    <row r="217" spans="1:32"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R217">
        <v>138.19999999999999</v>
      </c>
      <c r="S217">
        <v>163</v>
      </c>
      <c r="T217">
        <v>148.1</v>
      </c>
      <c r="U217">
        <v>139.4</v>
      </c>
      <c r="V217">
        <v>146.80000000000001</v>
      </c>
      <c r="W217">
        <v>146.5</v>
      </c>
      <c r="X217">
        <v>142.69999999999999</v>
      </c>
      <c r="Y217">
        <v>143.19999999999999</v>
      </c>
      <c r="Z217">
        <v>144.9</v>
      </c>
      <c r="AA217">
        <v>123.6</v>
      </c>
      <c r="AB217">
        <v>136.80000000000001</v>
      </c>
      <c r="AC217">
        <v>150.1</v>
      </c>
      <c r="AD217">
        <v>132.19999999999999</v>
      </c>
      <c r="AE217">
        <v>136.80000000000001</v>
      </c>
      <c r="AF217">
        <v>140.1</v>
      </c>
    </row>
    <row r="218" spans="1:32"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R218">
        <v>137.4</v>
      </c>
      <c r="S218">
        <v>162.69999999999999</v>
      </c>
      <c r="T218">
        <v>150.6</v>
      </c>
      <c r="U218">
        <v>145.1</v>
      </c>
      <c r="V218">
        <v>149.9</v>
      </c>
      <c r="W218" t="s">
        <v>32</v>
      </c>
      <c r="X218">
        <v>146.19999999999999</v>
      </c>
      <c r="Y218">
        <v>150.1</v>
      </c>
      <c r="Z218">
        <v>149.6</v>
      </c>
      <c r="AA218">
        <v>128.6</v>
      </c>
      <c r="AB218">
        <v>142.9</v>
      </c>
      <c r="AC218">
        <v>155.19999999999999</v>
      </c>
      <c r="AD218">
        <v>133.5</v>
      </c>
      <c r="AE218">
        <v>141.69999999999999</v>
      </c>
      <c r="AF218">
        <v>141</v>
      </c>
    </row>
    <row r="219" spans="1:32"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R219">
        <v>137.30000000000001</v>
      </c>
      <c r="S219">
        <v>164.7</v>
      </c>
      <c r="T219">
        <v>143</v>
      </c>
      <c r="U219">
        <v>130.4</v>
      </c>
      <c r="V219">
        <v>141.1</v>
      </c>
      <c r="W219">
        <v>147.69999999999999</v>
      </c>
      <c r="X219">
        <v>128.6</v>
      </c>
      <c r="Y219">
        <v>136.30000000000001</v>
      </c>
      <c r="Z219">
        <v>137.80000000000001</v>
      </c>
      <c r="AA219">
        <v>118.6</v>
      </c>
      <c r="AB219">
        <v>131.9</v>
      </c>
      <c r="AC219">
        <v>146.6</v>
      </c>
      <c r="AD219">
        <v>131.69999999999999</v>
      </c>
      <c r="AE219">
        <v>131.80000000000001</v>
      </c>
      <c r="AF219">
        <v>138</v>
      </c>
    </row>
    <row r="220" spans="1:32"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R220">
        <v>137.4</v>
      </c>
      <c r="S220">
        <v>163.19999999999999</v>
      </c>
      <c r="T220">
        <v>147.6</v>
      </c>
      <c r="U220">
        <v>139</v>
      </c>
      <c r="V220">
        <v>146.4</v>
      </c>
      <c r="W220">
        <v>147.69999999999999</v>
      </c>
      <c r="X220">
        <v>139.5</v>
      </c>
      <c r="Y220">
        <v>143.6</v>
      </c>
      <c r="Z220">
        <v>145.1</v>
      </c>
      <c r="AA220">
        <v>123.3</v>
      </c>
      <c r="AB220">
        <v>136.69999999999999</v>
      </c>
      <c r="AC220">
        <v>150.19999999999999</v>
      </c>
      <c r="AD220">
        <v>132.80000000000001</v>
      </c>
      <c r="AE220">
        <v>136.9</v>
      </c>
      <c r="AF220">
        <v>139.6</v>
      </c>
    </row>
    <row r="221" spans="1:32"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R221">
        <v>137.19999999999999</v>
      </c>
      <c r="S221">
        <v>162.80000000000001</v>
      </c>
      <c r="T221">
        <v>150.5</v>
      </c>
      <c r="U221">
        <v>146.1</v>
      </c>
      <c r="V221">
        <v>149.9</v>
      </c>
      <c r="W221" t="s">
        <v>32</v>
      </c>
      <c r="X221">
        <v>145.30000000000001</v>
      </c>
      <c r="Y221">
        <v>150.1</v>
      </c>
      <c r="Z221">
        <v>149.9</v>
      </c>
      <c r="AA221">
        <v>129.19999999999999</v>
      </c>
      <c r="AB221">
        <v>143.4</v>
      </c>
      <c r="AC221">
        <v>155.5</v>
      </c>
      <c r="AD221">
        <v>134.9</v>
      </c>
      <c r="AE221">
        <v>142.19999999999999</v>
      </c>
      <c r="AF221">
        <v>141</v>
      </c>
    </row>
    <row r="222" spans="1:32"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R222">
        <v>138</v>
      </c>
      <c r="S222">
        <v>164.9</v>
      </c>
      <c r="T222">
        <v>143.30000000000001</v>
      </c>
      <c r="U222">
        <v>130.80000000000001</v>
      </c>
      <c r="V222">
        <v>141.4</v>
      </c>
      <c r="W222">
        <v>148.5</v>
      </c>
      <c r="X222">
        <v>127.1</v>
      </c>
      <c r="Y222">
        <v>136.6</v>
      </c>
      <c r="Z222">
        <v>138.5</v>
      </c>
      <c r="AA222">
        <v>119.2</v>
      </c>
      <c r="AB222">
        <v>132.19999999999999</v>
      </c>
      <c r="AC222">
        <v>146.6</v>
      </c>
      <c r="AD222">
        <v>133</v>
      </c>
      <c r="AE222">
        <v>132.4</v>
      </c>
      <c r="AF222">
        <v>138.6</v>
      </c>
    </row>
    <row r="223" spans="1:32"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R223">
        <v>137.5</v>
      </c>
      <c r="S223">
        <v>163.4</v>
      </c>
      <c r="T223">
        <v>147.69999999999999</v>
      </c>
      <c r="U223">
        <v>139.69999999999999</v>
      </c>
      <c r="V223">
        <v>146.5</v>
      </c>
      <c r="W223">
        <v>148.5</v>
      </c>
      <c r="X223">
        <v>138.4</v>
      </c>
      <c r="Y223">
        <v>143.69999999999999</v>
      </c>
      <c r="Z223">
        <v>145.6</v>
      </c>
      <c r="AA223">
        <v>123.9</v>
      </c>
      <c r="AB223">
        <v>137.1</v>
      </c>
      <c r="AC223">
        <v>150.30000000000001</v>
      </c>
      <c r="AD223">
        <v>134.1</v>
      </c>
      <c r="AE223">
        <v>137.4</v>
      </c>
      <c r="AF223">
        <v>139.9</v>
      </c>
    </row>
    <row r="224" spans="1:32"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R224">
        <v>137.30000000000001</v>
      </c>
      <c r="S224">
        <v>162.9</v>
      </c>
      <c r="T224">
        <v>150.80000000000001</v>
      </c>
      <c r="U224">
        <v>146.1</v>
      </c>
      <c r="V224">
        <v>150.1</v>
      </c>
      <c r="W224" t="s">
        <v>32</v>
      </c>
      <c r="X224">
        <v>146.4</v>
      </c>
      <c r="Y224">
        <v>150</v>
      </c>
      <c r="Z224">
        <v>150.4</v>
      </c>
      <c r="AA224">
        <v>129.9</v>
      </c>
      <c r="AB224">
        <v>143.80000000000001</v>
      </c>
      <c r="AC224">
        <v>155.5</v>
      </c>
      <c r="AD224">
        <v>134</v>
      </c>
      <c r="AE224">
        <v>142.4</v>
      </c>
      <c r="AF224">
        <v>141.19999999999999</v>
      </c>
    </row>
    <row r="225" spans="1:32"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R225">
        <v>139.6</v>
      </c>
      <c r="S225">
        <v>165.3</v>
      </c>
      <c r="T225">
        <v>143.5</v>
      </c>
      <c r="U225">
        <v>131.19999999999999</v>
      </c>
      <c r="V225">
        <v>141.6</v>
      </c>
      <c r="W225">
        <v>149</v>
      </c>
      <c r="X225">
        <v>128.80000000000001</v>
      </c>
      <c r="Y225">
        <v>136.80000000000001</v>
      </c>
      <c r="Z225">
        <v>139.19999999999999</v>
      </c>
      <c r="AA225">
        <v>119.9</v>
      </c>
      <c r="AB225">
        <v>133</v>
      </c>
      <c r="AC225">
        <v>146.69999999999999</v>
      </c>
      <c r="AD225">
        <v>132.5</v>
      </c>
      <c r="AE225">
        <v>132.80000000000001</v>
      </c>
      <c r="AF225">
        <v>139.5</v>
      </c>
    </row>
    <row r="226" spans="1:32"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R226">
        <v>138.1</v>
      </c>
      <c r="S226">
        <v>163.5</v>
      </c>
      <c r="T226">
        <v>147.9</v>
      </c>
      <c r="U226">
        <v>139.9</v>
      </c>
      <c r="V226">
        <v>146.69999999999999</v>
      </c>
      <c r="W226">
        <v>149</v>
      </c>
      <c r="X226">
        <v>139.69999999999999</v>
      </c>
      <c r="Y226">
        <v>143.80000000000001</v>
      </c>
      <c r="Z226">
        <v>146.19999999999999</v>
      </c>
      <c r="AA226">
        <v>124.6</v>
      </c>
      <c r="AB226">
        <v>137.69999999999999</v>
      </c>
      <c r="AC226">
        <v>150.30000000000001</v>
      </c>
      <c r="AD226">
        <v>133.4</v>
      </c>
      <c r="AE226">
        <v>137.69999999999999</v>
      </c>
      <c r="AF226">
        <v>140.4</v>
      </c>
    </row>
    <row r="227" spans="1:32"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R227">
        <v>139.19999999999999</v>
      </c>
      <c r="S227">
        <v>163.30000000000001</v>
      </c>
      <c r="T227">
        <v>151.30000000000001</v>
      </c>
      <c r="U227">
        <v>146.6</v>
      </c>
      <c r="V227">
        <v>150.69999999999999</v>
      </c>
      <c r="W227" t="s">
        <v>32</v>
      </c>
      <c r="X227">
        <v>146.9</v>
      </c>
      <c r="Y227">
        <v>149.5</v>
      </c>
      <c r="Z227">
        <v>151.30000000000001</v>
      </c>
      <c r="AA227">
        <v>130.19999999999999</v>
      </c>
      <c r="AB227">
        <v>145.9</v>
      </c>
      <c r="AC227">
        <v>156.69999999999999</v>
      </c>
      <c r="AD227">
        <v>133.9</v>
      </c>
      <c r="AE227">
        <v>142.9</v>
      </c>
      <c r="AF227">
        <v>142.4</v>
      </c>
    </row>
    <row r="228" spans="1:32"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R228">
        <v>143.80000000000001</v>
      </c>
      <c r="S228">
        <v>166.2</v>
      </c>
      <c r="T228">
        <v>144</v>
      </c>
      <c r="U228">
        <v>131.69999999999999</v>
      </c>
      <c r="V228">
        <v>142.19999999999999</v>
      </c>
      <c r="W228">
        <v>150.1</v>
      </c>
      <c r="X228">
        <v>129.4</v>
      </c>
      <c r="Y228">
        <v>137.19999999999999</v>
      </c>
      <c r="Z228">
        <v>139.80000000000001</v>
      </c>
      <c r="AA228">
        <v>120.1</v>
      </c>
      <c r="AB228">
        <v>134</v>
      </c>
      <c r="AC228">
        <v>148</v>
      </c>
      <c r="AD228">
        <v>132.6</v>
      </c>
      <c r="AE228">
        <v>133.30000000000001</v>
      </c>
      <c r="AF228">
        <v>141.5</v>
      </c>
    </row>
    <row r="229" spans="1:32"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R229">
        <v>140.9</v>
      </c>
      <c r="S229">
        <v>164.1</v>
      </c>
      <c r="T229">
        <v>148.4</v>
      </c>
      <c r="U229">
        <v>140.4</v>
      </c>
      <c r="V229">
        <v>147.30000000000001</v>
      </c>
      <c r="W229">
        <v>150.1</v>
      </c>
      <c r="X229">
        <v>140.30000000000001</v>
      </c>
      <c r="Y229">
        <v>143.69999999999999</v>
      </c>
      <c r="Z229">
        <v>146.9</v>
      </c>
      <c r="AA229">
        <v>124.9</v>
      </c>
      <c r="AB229">
        <v>139.19999999999999</v>
      </c>
      <c r="AC229">
        <v>151.6</v>
      </c>
      <c r="AD229">
        <v>133.4</v>
      </c>
      <c r="AE229">
        <v>138.19999999999999</v>
      </c>
      <c r="AF229">
        <v>142</v>
      </c>
    </row>
    <row r="230" spans="1:32"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R230">
        <v>141</v>
      </c>
      <c r="S230">
        <v>164.2</v>
      </c>
      <c r="T230">
        <v>151.4</v>
      </c>
      <c r="U230">
        <v>146.5</v>
      </c>
      <c r="V230">
        <v>150.69999999999999</v>
      </c>
      <c r="W230" t="s">
        <v>32</v>
      </c>
      <c r="X230">
        <v>147.80000000000001</v>
      </c>
      <c r="Y230">
        <v>149.6</v>
      </c>
      <c r="Z230">
        <v>151.69999999999999</v>
      </c>
      <c r="AA230">
        <v>130.19999999999999</v>
      </c>
      <c r="AB230">
        <v>146.4</v>
      </c>
      <c r="AC230">
        <v>157.69999999999999</v>
      </c>
      <c r="AD230">
        <v>134.80000000000001</v>
      </c>
      <c r="AE230">
        <v>143.30000000000001</v>
      </c>
      <c r="AF230">
        <v>143.6</v>
      </c>
    </row>
    <row r="231" spans="1:32"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R231">
        <v>145.6</v>
      </c>
      <c r="S231">
        <v>166.7</v>
      </c>
      <c r="T231">
        <v>144.30000000000001</v>
      </c>
      <c r="U231">
        <v>131.69999999999999</v>
      </c>
      <c r="V231">
        <v>142.4</v>
      </c>
      <c r="W231">
        <v>149.4</v>
      </c>
      <c r="X231">
        <v>130.5</v>
      </c>
      <c r="Y231">
        <v>137.4</v>
      </c>
      <c r="Z231">
        <v>140.30000000000001</v>
      </c>
      <c r="AA231">
        <v>119.6</v>
      </c>
      <c r="AB231">
        <v>134.30000000000001</v>
      </c>
      <c r="AC231">
        <v>148.9</v>
      </c>
      <c r="AD231">
        <v>133.69999999999999</v>
      </c>
      <c r="AE231">
        <v>133.6</v>
      </c>
      <c r="AF231">
        <v>142.1</v>
      </c>
    </row>
    <row r="232" spans="1:32"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R232">
        <v>142.69999999999999</v>
      </c>
      <c r="S232">
        <v>164.9</v>
      </c>
      <c r="T232">
        <v>148.6</v>
      </c>
      <c r="U232">
        <v>140.4</v>
      </c>
      <c r="V232">
        <v>147.4</v>
      </c>
      <c r="W232">
        <v>149.4</v>
      </c>
      <c r="X232">
        <v>141.19999999999999</v>
      </c>
      <c r="Y232">
        <v>143.80000000000001</v>
      </c>
      <c r="Z232">
        <v>147.4</v>
      </c>
      <c r="AA232">
        <v>124.6</v>
      </c>
      <c r="AB232">
        <v>139.6</v>
      </c>
      <c r="AC232">
        <v>152.5</v>
      </c>
      <c r="AD232">
        <v>134.30000000000001</v>
      </c>
      <c r="AE232">
        <v>138.6</v>
      </c>
      <c r="AF232">
        <v>142.9</v>
      </c>
    </row>
    <row r="233" spans="1:32"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R233">
        <v>143</v>
      </c>
      <c r="S233">
        <v>164.5</v>
      </c>
      <c r="T233">
        <v>151.6</v>
      </c>
      <c r="U233">
        <v>146.6</v>
      </c>
      <c r="V233">
        <v>150.9</v>
      </c>
      <c r="W233" t="s">
        <v>32</v>
      </c>
      <c r="X233">
        <v>146.80000000000001</v>
      </c>
      <c r="Y233">
        <v>150</v>
      </c>
      <c r="Z233">
        <v>152.19999999999999</v>
      </c>
      <c r="AA233">
        <v>131.19999999999999</v>
      </c>
      <c r="AB233">
        <v>147.5</v>
      </c>
      <c r="AC233">
        <v>159.1</v>
      </c>
      <c r="AD233">
        <v>136.1</v>
      </c>
      <c r="AE233">
        <v>144.19999999999999</v>
      </c>
      <c r="AF233">
        <v>144.9</v>
      </c>
    </row>
    <row r="234" spans="1:32"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R234">
        <v>147.69999999999999</v>
      </c>
      <c r="S234">
        <v>167.2</v>
      </c>
      <c r="T234">
        <v>144.69999999999999</v>
      </c>
      <c r="U234">
        <v>131.9</v>
      </c>
      <c r="V234">
        <v>142.69999999999999</v>
      </c>
      <c r="W234">
        <v>150.6</v>
      </c>
      <c r="X234">
        <v>127</v>
      </c>
      <c r="Y234">
        <v>137.69999999999999</v>
      </c>
      <c r="Z234">
        <v>140.80000000000001</v>
      </c>
      <c r="AA234">
        <v>120.6</v>
      </c>
      <c r="AB234">
        <v>135</v>
      </c>
      <c r="AC234">
        <v>150.4</v>
      </c>
      <c r="AD234">
        <v>135.1</v>
      </c>
      <c r="AE234">
        <v>134.5</v>
      </c>
      <c r="AF234">
        <v>143.30000000000001</v>
      </c>
    </row>
    <row r="235" spans="1:32"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R235">
        <v>144.69999999999999</v>
      </c>
      <c r="S235">
        <v>165.2</v>
      </c>
      <c r="T235">
        <v>148.9</v>
      </c>
      <c r="U235">
        <v>140.5</v>
      </c>
      <c r="V235">
        <v>147.6</v>
      </c>
      <c r="W235">
        <v>150.6</v>
      </c>
      <c r="X235">
        <v>139.30000000000001</v>
      </c>
      <c r="Y235">
        <v>144.19999999999999</v>
      </c>
      <c r="Z235">
        <v>147.9</v>
      </c>
      <c r="AA235">
        <v>125.6</v>
      </c>
      <c r="AB235">
        <v>140.5</v>
      </c>
      <c r="AC235">
        <v>154</v>
      </c>
      <c r="AD235">
        <v>135.69999999999999</v>
      </c>
      <c r="AE235">
        <v>139.5</v>
      </c>
      <c r="AF235">
        <v>144.19999999999999</v>
      </c>
    </row>
    <row r="236" spans="1:32"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R236">
        <v>144</v>
      </c>
      <c r="S236">
        <v>165.1</v>
      </c>
      <c r="T236">
        <v>151.80000000000001</v>
      </c>
      <c r="U236">
        <v>146.6</v>
      </c>
      <c r="V236">
        <v>151.1</v>
      </c>
      <c r="W236" t="s">
        <v>32</v>
      </c>
      <c r="X236">
        <v>146.4</v>
      </c>
      <c r="Y236">
        <v>150.19999999999999</v>
      </c>
      <c r="Z236">
        <v>152.69999999999999</v>
      </c>
      <c r="AA236">
        <v>131.4</v>
      </c>
      <c r="AB236">
        <v>148</v>
      </c>
      <c r="AC236">
        <v>159.69999999999999</v>
      </c>
      <c r="AD236">
        <v>138.80000000000001</v>
      </c>
      <c r="AE236">
        <v>144.9</v>
      </c>
      <c r="AF236">
        <v>145.69999999999999</v>
      </c>
    </row>
    <row r="237" spans="1:32"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R237">
        <v>149.1</v>
      </c>
      <c r="S237">
        <v>167.9</v>
      </c>
      <c r="T237">
        <v>145</v>
      </c>
      <c r="U237">
        <v>132.19999999999999</v>
      </c>
      <c r="V237">
        <v>143</v>
      </c>
      <c r="W237">
        <v>151.6</v>
      </c>
      <c r="X237">
        <v>125.5</v>
      </c>
      <c r="Y237">
        <v>138.1</v>
      </c>
      <c r="Z237">
        <v>141.5</v>
      </c>
      <c r="AA237">
        <v>120.8</v>
      </c>
      <c r="AB237">
        <v>135.4</v>
      </c>
      <c r="AC237">
        <v>151.5</v>
      </c>
      <c r="AD237">
        <v>137.80000000000001</v>
      </c>
      <c r="AE237">
        <v>135.30000000000001</v>
      </c>
      <c r="AF237">
        <v>144.19999999999999</v>
      </c>
    </row>
    <row r="238" spans="1:32"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R238">
        <v>145.9</v>
      </c>
      <c r="S238">
        <v>165.8</v>
      </c>
      <c r="T238">
        <v>149.1</v>
      </c>
      <c r="U238">
        <v>140.6</v>
      </c>
      <c r="V238">
        <v>147.9</v>
      </c>
      <c r="W238">
        <v>151.6</v>
      </c>
      <c r="X238">
        <v>138.5</v>
      </c>
      <c r="Y238">
        <v>144.5</v>
      </c>
      <c r="Z238">
        <v>148.5</v>
      </c>
      <c r="AA238">
        <v>125.8</v>
      </c>
      <c r="AB238">
        <v>140.9</v>
      </c>
      <c r="AC238">
        <v>154.9</v>
      </c>
      <c r="AD238">
        <v>138.4</v>
      </c>
      <c r="AE238">
        <v>140.19999999999999</v>
      </c>
      <c r="AF238">
        <v>145</v>
      </c>
    </row>
    <row r="239" spans="1:32"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R239">
        <v>145.5</v>
      </c>
      <c r="S239">
        <v>165.7</v>
      </c>
      <c r="T239">
        <v>151.69999999999999</v>
      </c>
      <c r="U239">
        <v>146.6</v>
      </c>
      <c r="V239">
        <v>151</v>
      </c>
      <c r="W239" t="s">
        <v>32</v>
      </c>
      <c r="X239">
        <v>146.9</v>
      </c>
      <c r="Y239">
        <v>150.30000000000001</v>
      </c>
      <c r="Z239">
        <v>153.4</v>
      </c>
      <c r="AA239">
        <v>131.6</v>
      </c>
      <c r="AB239">
        <v>148.30000000000001</v>
      </c>
      <c r="AC239">
        <v>160.19999999999999</v>
      </c>
      <c r="AD239">
        <v>140.19999999999999</v>
      </c>
      <c r="AE239">
        <v>145.4</v>
      </c>
      <c r="AF239">
        <v>146.69999999999999</v>
      </c>
    </row>
    <row r="240" spans="1:32"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R240">
        <v>149.5</v>
      </c>
      <c r="S240">
        <v>168.6</v>
      </c>
      <c r="T240">
        <v>145.30000000000001</v>
      </c>
      <c r="U240">
        <v>132.19999999999999</v>
      </c>
      <c r="V240">
        <v>143.30000000000001</v>
      </c>
      <c r="W240">
        <v>152.19999999999999</v>
      </c>
      <c r="X240">
        <v>126.6</v>
      </c>
      <c r="Y240">
        <v>138.30000000000001</v>
      </c>
      <c r="Z240">
        <v>141.9</v>
      </c>
      <c r="AA240">
        <v>121.2</v>
      </c>
      <c r="AB240">
        <v>135.9</v>
      </c>
      <c r="AC240">
        <v>151.6</v>
      </c>
      <c r="AD240">
        <v>139</v>
      </c>
      <c r="AE240">
        <v>135.69999999999999</v>
      </c>
      <c r="AF240">
        <v>144.69999999999999</v>
      </c>
    </row>
    <row r="241" spans="1:32"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R241">
        <v>147</v>
      </c>
      <c r="S241">
        <v>166.5</v>
      </c>
      <c r="T241">
        <v>149.19999999999999</v>
      </c>
      <c r="U241">
        <v>140.6</v>
      </c>
      <c r="V241">
        <v>147.9</v>
      </c>
      <c r="W241">
        <v>152.19999999999999</v>
      </c>
      <c r="X241">
        <v>139.19999999999999</v>
      </c>
      <c r="Y241">
        <v>144.6</v>
      </c>
      <c r="Z241">
        <v>149</v>
      </c>
      <c r="AA241">
        <v>126.1</v>
      </c>
      <c r="AB241">
        <v>141.30000000000001</v>
      </c>
      <c r="AC241">
        <v>155.19999999999999</v>
      </c>
      <c r="AD241">
        <v>139.69999999999999</v>
      </c>
      <c r="AE241">
        <v>140.69999999999999</v>
      </c>
      <c r="AF241">
        <v>145.80000000000001</v>
      </c>
    </row>
    <row r="242" spans="1:32"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R242">
        <v>148.30000000000001</v>
      </c>
      <c r="S242">
        <v>166.3</v>
      </c>
      <c r="T242">
        <v>151.69999999999999</v>
      </c>
      <c r="U242">
        <v>146.69999999999999</v>
      </c>
      <c r="V242">
        <v>151</v>
      </c>
      <c r="W242" t="s">
        <v>32</v>
      </c>
      <c r="X242">
        <v>147.69999999999999</v>
      </c>
      <c r="Y242">
        <v>150.6</v>
      </c>
      <c r="Z242">
        <v>153.69999999999999</v>
      </c>
      <c r="AA242">
        <v>131.69999999999999</v>
      </c>
      <c r="AB242">
        <v>148.69999999999999</v>
      </c>
      <c r="AC242">
        <v>160.69999999999999</v>
      </c>
      <c r="AD242">
        <v>140.30000000000001</v>
      </c>
      <c r="AE242">
        <v>145.69999999999999</v>
      </c>
      <c r="AF242">
        <v>148.30000000000001</v>
      </c>
    </row>
    <row r="243" spans="1:32"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R243">
        <v>151.9</v>
      </c>
      <c r="S243">
        <v>169.3</v>
      </c>
      <c r="T243">
        <v>145.9</v>
      </c>
      <c r="U243">
        <v>132.4</v>
      </c>
      <c r="V243">
        <v>143.9</v>
      </c>
      <c r="W243">
        <v>153</v>
      </c>
      <c r="X243">
        <v>128.9</v>
      </c>
      <c r="Y243">
        <v>138.69999999999999</v>
      </c>
      <c r="Z243">
        <v>142.4</v>
      </c>
      <c r="AA243">
        <v>121.5</v>
      </c>
      <c r="AB243">
        <v>136.19999999999999</v>
      </c>
      <c r="AC243">
        <v>151.69999999999999</v>
      </c>
      <c r="AD243">
        <v>139.5</v>
      </c>
      <c r="AE243">
        <v>136</v>
      </c>
      <c r="AF243">
        <v>146</v>
      </c>
    </row>
    <row r="244" spans="1:32"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R244">
        <v>149.6</v>
      </c>
      <c r="S244">
        <v>167.1</v>
      </c>
      <c r="T244">
        <v>149.4</v>
      </c>
      <c r="U244">
        <v>140.80000000000001</v>
      </c>
      <c r="V244">
        <v>148.19999999999999</v>
      </c>
      <c r="W244">
        <v>153</v>
      </c>
      <c r="X244">
        <v>140.6</v>
      </c>
      <c r="Y244">
        <v>145</v>
      </c>
      <c r="Z244">
        <v>149.4</v>
      </c>
      <c r="AA244">
        <v>126.3</v>
      </c>
      <c r="AB244">
        <v>141.69999999999999</v>
      </c>
      <c r="AC244">
        <v>155.4</v>
      </c>
      <c r="AD244">
        <v>140</v>
      </c>
      <c r="AE244">
        <v>141</v>
      </c>
      <c r="AF244">
        <v>147.19999999999999</v>
      </c>
    </row>
    <row r="245" spans="1:32"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R245">
        <v>150.9</v>
      </c>
      <c r="S245">
        <v>167.2</v>
      </c>
      <c r="T245">
        <v>152.30000000000001</v>
      </c>
      <c r="U245">
        <v>147</v>
      </c>
      <c r="V245">
        <v>151.5</v>
      </c>
      <c r="W245" t="s">
        <v>32</v>
      </c>
      <c r="X245">
        <v>148.4</v>
      </c>
      <c r="Y245">
        <v>150.9</v>
      </c>
      <c r="Z245">
        <v>154.30000000000001</v>
      </c>
      <c r="AA245">
        <v>132.1</v>
      </c>
      <c r="AB245">
        <v>149.1</v>
      </c>
      <c r="AC245">
        <v>160.80000000000001</v>
      </c>
      <c r="AD245">
        <v>140.6</v>
      </c>
      <c r="AE245">
        <v>146.1</v>
      </c>
      <c r="AF245">
        <v>149.9</v>
      </c>
    </row>
    <row r="246" spans="1:32"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R246">
        <v>153.6</v>
      </c>
      <c r="S246">
        <v>169.9</v>
      </c>
      <c r="T246">
        <v>146.30000000000001</v>
      </c>
      <c r="U246">
        <v>132.6</v>
      </c>
      <c r="V246">
        <v>144.19999999999999</v>
      </c>
      <c r="W246">
        <v>153.5</v>
      </c>
      <c r="X246">
        <v>132.19999999999999</v>
      </c>
      <c r="Y246">
        <v>139.1</v>
      </c>
      <c r="Z246">
        <v>142.80000000000001</v>
      </c>
      <c r="AA246">
        <v>121.7</v>
      </c>
      <c r="AB246">
        <v>136.69999999999999</v>
      </c>
      <c r="AC246">
        <v>151.80000000000001</v>
      </c>
      <c r="AD246">
        <v>139.80000000000001</v>
      </c>
      <c r="AE246">
        <v>136.30000000000001</v>
      </c>
      <c r="AF246">
        <v>147</v>
      </c>
    </row>
    <row r="247" spans="1:32"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R247">
        <v>151.9</v>
      </c>
      <c r="S247">
        <v>167.9</v>
      </c>
      <c r="T247">
        <v>149.9</v>
      </c>
      <c r="U247">
        <v>141</v>
      </c>
      <c r="V247">
        <v>148.6</v>
      </c>
      <c r="W247">
        <v>153.5</v>
      </c>
      <c r="X247">
        <v>142.30000000000001</v>
      </c>
      <c r="Y247">
        <v>145.30000000000001</v>
      </c>
      <c r="Z247">
        <v>149.9</v>
      </c>
      <c r="AA247">
        <v>126.6</v>
      </c>
      <c r="AB247">
        <v>142.1</v>
      </c>
      <c r="AC247">
        <v>155.5</v>
      </c>
      <c r="AD247">
        <v>140.30000000000001</v>
      </c>
      <c r="AE247">
        <v>141.30000000000001</v>
      </c>
      <c r="AF247">
        <v>148.6</v>
      </c>
    </row>
    <row r="248" spans="1:32"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R248">
        <v>154.30000000000001</v>
      </c>
      <c r="S248">
        <v>167.8</v>
      </c>
      <c r="T248">
        <v>152.6</v>
      </c>
      <c r="U248">
        <v>147.30000000000001</v>
      </c>
      <c r="V248">
        <v>151.9</v>
      </c>
      <c r="W248" t="s">
        <v>32</v>
      </c>
      <c r="X248">
        <v>149.9</v>
      </c>
      <c r="Y248">
        <v>151.19999999999999</v>
      </c>
      <c r="Z248">
        <v>154.80000000000001</v>
      </c>
      <c r="AA248">
        <v>135</v>
      </c>
      <c r="AB248">
        <v>149.5</v>
      </c>
      <c r="AC248">
        <v>161.1</v>
      </c>
      <c r="AD248">
        <v>140.6</v>
      </c>
      <c r="AE248">
        <v>147.1</v>
      </c>
      <c r="AF248">
        <v>152.30000000000001</v>
      </c>
    </row>
    <row r="249" spans="1:32"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R249">
        <v>156.30000000000001</v>
      </c>
      <c r="S249">
        <v>170.4</v>
      </c>
      <c r="T249">
        <v>146.80000000000001</v>
      </c>
      <c r="U249">
        <v>132.80000000000001</v>
      </c>
      <c r="V249">
        <v>144.6</v>
      </c>
      <c r="W249">
        <v>152.80000000000001</v>
      </c>
      <c r="X249">
        <v>133.6</v>
      </c>
      <c r="Y249">
        <v>139.80000000000001</v>
      </c>
      <c r="Z249">
        <v>143.19999999999999</v>
      </c>
      <c r="AA249">
        <v>125.2</v>
      </c>
      <c r="AB249">
        <v>136.80000000000001</v>
      </c>
      <c r="AC249">
        <v>151.9</v>
      </c>
      <c r="AD249">
        <v>140.19999999999999</v>
      </c>
      <c r="AE249">
        <v>137.69999999999999</v>
      </c>
      <c r="AF249">
        <v>148.30000000000001</v>
      </c>
    </row>
    <row r="250" spans="1:32"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R250">
        <v>155</v>
      </c>
      <c r="S250">
        <v>168.5</v>
      </c>
      <c r="T250">
        <v>150.30000000000001</v>
      </c>
      <c r="U250">
        <v>141.30000000000001</v>
      </c>
      <c r="V250">
        <v>149</v>
      </c>
      <c r="W250">
        <v>152.80000000000001</v>
      </c>
      <c r="X250">
        <v>143.69999999999999</v>
      </c>
      <c r="Y250">
        <v>145.80000000000001</v>
      </c>
      <c r="Z250">
        <v>150.4</v>
      </c>
      <c r="AA250">
        <v>129.80000000000001</v>
      </c>
      <c r="AB250">
        <v>142.30000000000001</v>
      </c>
      <c r="AC250">
        <v>155.69999999999999</v>
      </c>
      <c r="AD250">
        <v>140.4</v>
      </c>
      <c r="AE250">
        <v>142.5</v>
      </c>
      <c r="AF250">
        <v>150.4</v>
      </c>
    </row>
    <row r="251" spans="1:32"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R251">
        <v>153</v>
      </c>
      <c r="S251">
        <v>168.6</v>
      </c>
      <c r="T251">
        <v>152.80000000000001</v>
      </c>
      <c r="U251">
        <v>147.4</v>
      </c>
      <c r="V251">
        <v>152.1</v>
      </c>
      <c r="W251" t="s">
        <v>32</v>
      </c>
      <c r="X251">
        <v>150.4</v>
      </c>
      <c r="Y251">
        <v>151.69999999999999</v>
      </c>
      <c r="Z251">
        <v>155.69999999999999</v>
      </c>
      <c r="AA251">
        <v>136.30000000000001</v>
      </c>
      <c r="AB251">
        <v>150.1</v>
      </c>
      <c r="AC251">
        <v>161.69999999999999</v>
      </c>
      <c r="AD251">
        <v>142.5</v>
      </c>
      <c r="AE251">
        <v>148.1</v>
      </c>
      <c r="AF251">
        <v>151.9</v>
      </c>
    </row>
    <row r="252" spans="1:32"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R252">
        <v>154.4</v>
      </c>
      <c r="S252">
        <v>170.8</v>
      </c>
      <c r="T252">
        <v>147</v>
      </c>
      <c r="U252">
        <v>133.19999999999999</v>
      </c>
      <c r="V252">
        <v>144.9</v>
      </c>
      <c r="W252">
        <v>153.9</v>
      </c>
      <c r="X252">
        <v>135.1</v>
      </c>
      <c r="Y252">
        <v>140.1</v>
      </c>
      <c r="Z252">
        <v>143.80000000000001</v>
      </c>
      <c r="AA252">
        <v>126.1</v>
      </c>
      <c r="AB252">
        <v>137.19999999999999</v>
      </c>
      <c r="AC252">
        <v>152.1</v>
      </c>
      <c r="AD252">
        <v>142.1</v>
      </c>
      <c r="AE252">
        <v>138.4</v>
      </c>
      <c r="AF252">
        <v>148.19999999999999</v>
      </c>
    </row>
    <row r="253" spans="1:32" hidden="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R253">
        <v>153.5</v>
      </c>
      <c r="S253">
        <v>169.2</v>
      </c>
      <c r="T253">
        <v>150.5</v>
      </c>
      <c r="U253">
        <v>141.5</v>
      </c>
      <c r="V253">
        <v>149.19999999999999</v>
      </c>
      <c r="W253">
        <v>153.9</v>
      </c>
      <c r="X253">
        <v>144.6</v>
      </c>
      <c r="Y253">
        <v>146.19999999999999</v>
      </c>
      <c r="Z253">
        <v>151.19999999999999</v>
      </c>
      <c r="AA253">
        <v>130.9</v>
      </c>
      <c r="AB253">
        <v>142.80000000000001</v>
      </c>
      <c r="AC253">
        <v>156.1</v>
      </c>
      <c r="AD253">
        <v>142.30000000000001</v>
      </c>
      <c r="AE253">
        <v>143.4</v>
      </c>
      <c r="AF253">
        <v>150.19999999999999</v>
      </c>
    </row>
    <row r="254" spans="1:32"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R254">
        <v>149.80000000000001</v>
      </c>
      <c r="S254">
        <v>169.4</v>
      </c>
      <c r="T254">
        <v>153</v>
      </c>
      <c r="U254">
        <v>147.5</v>
      </c>
      <c r="V254">
        <v>152.30000000000001</v>
      </c>
      <c r="W254" t="s">
        <v>32</v>
      </c>
      <c r="X254">
        <v>152.30000000000001</v>
      </c>
      <c r="Y254">
        <v>151.80000000000001</v>
      </c>
      <c r="Z254">
        <v>156.19999999999999</v>
      </c>
      <c r="AA254">
        <v>136</v>
      </c>
      <c r="AB254">
        <v>150.4</v>
      </c>
      <c r="AC254">
        <v>161.9</v>
      </c>
      <c r="AD254">
        <v>143.4</v>
      </c>
      <c r="AE254">
        <v>148.4</v>
      </c>
      <c r="AF254">
        <v>150.4</v>
      </c>
    </row>
    <row r="255" spans="1:32"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R255">
        <v>151.69999999999999</v>
      </c>
      <c r="S255">
        <v>172</v>
      </c>
      <c r="T255">
        <v>147.30000000000001</v>
      </c>
      <c r="U255">
        <v>133.5</v>
      </c>
      <c r="V255">
        <v>145.19999999999999</v>
      </c>
      <c r="W255">
        <v>154.80000000000001</v>
      </c>
      <c r="X255">
        <v>138.9</v>
      </c>
      <c r="Y255">
        <v>140.4</v>
      </c>
      <c r="Z255">
        <v>144.4</v>
      </c>
      <c r="AA255">
        <v>125.2</v>
      </c>
      <c r="AB255">
        <v>137.69999999999999</v>
      </c>
      <c r="AC255">
        <v>152.19999999999999</v>
      </c>
      <c r="AD255">
        <v>143.5</v>
      </c>
      <c r="AE255">
        <v>138.4</v>
      </c>
      <c r="AF255">
        <v>147.69999999999999</v>
      </c>
    </row>
    <row r="256" spans="1:32" hidden="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R256">
        <v>150.5</v>
      </c>
      <c r="S256">
        <v>170.1</v>
      </c>
      <c r="T256">
        <v>150.80000000000001</v>
      </c>
      <c r="U256">
        <v>141.69999999999999</v>
      </c>
      <c r="V256">
        <v>149.5</v>
      </c>
      <c r="W256">
        <v>154.80000000000001</v>
      </c>
      <c r="X256">
        <v>147.19999999999999</v>
      </c>
      <c r="Y256">
        <v>146.4</v>
      </c>
      <c r="Z256">
        <v>151.69999999999999</v>
      </c>
      <c r="AA256">
        <v>130.30000000000001</v>
      </c>
      <c r="AB256">
        <v>143.19999999999999</v>
      </c>
      <c r="AC256">
        <v>156.19999999999999</v>
      </c>
      <c r="AD256">
        <v>143.4</v>
      </c>
      <c r="AE256">
        <v>143.6</v>
      </c>
      <c r="AF256">
        <v>149.1</v>
      </c>
    </row>
    <row r="257" spans="1:32"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R257">
        <v>148.19999999999999</v>
      </c>
      <c r="S257">
        <v>170.5</v>
      </c>
      <c r="T257">
        <v>153.4</v>
      </c>
      <c r="U257">
        <v>147.6</v>
      </c>
      <c r="V257">
        <v>152.5</v>
      </c>
      <c r="W257" t="s">
        <v>32</v>
      </c>
      <c r="X257">
        <v>153.4</v>
      </c>
      <c r="Y257">
        <v>151.5</v>
      </c>
      <c r="Z257">
        <v>156.69999999999999</v>
      </c>
      <c r="AA257">
        <v>135.80000000000001</v>
      </c>
      <c r="AB257">
        <v>151.19999999999999</v>
      </c>
      <c r="AC257">
        <v>161.19999999999999</v>
      </c>
      <c r="AD257">
        <v>145.1</v>
      </c>
      <c r="AE257">
        <v>148.6</v>
      </c>
      <c r="AF257">
        <v>149.80000000000001</v>
      </c>
    </row>
    <row r="258" spans="1:32"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R258">
        <v>150.1</v>
      </c>
      <c r="S258">
        <v>173.3</v>
      </c>
      <c r="T258">
        <v>147.69999999999999</v>
      </c>
      <c r="U258">
        <v>133.80000000000001</v>
      </c>
      <c r="V258">
        <v>145.6</v>
      </c>
      <c r="W258">
        <v>154.5</v>
      </c>
      <c r="X258">
        <v>141.4</v>
      </c>
      <c r="Y258">
        <v>140.80000000000001</v>
      </c>
      <c r="Z258">
        <v>145</v>
      </c>
      <c r="AA258">
        <v>124.6</v>
      </c>
      <c r="AB258">
        <v>137.9</v>
      </c>
      <c r="AC258">
        <v>152.5</v>
      </c>
      <c r="AD258">
        <v>145.30000000000001</v>
      </c>
      <c r="AE258">
        <v>138.69999999999999</v>
      </c>
      <c r="AF258">
        <v>147.30000000000001</v>
      </c>
    </row>
    <row r="259" spans="1:32" hidden="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R259">
        <v>148.9</v>
      </c>
      <c r="S259">
        <v>171.2</v>
      </c>
      <c r="T259">
        <v>151.19999999999999</v>
      </c>
      <c r="U259">
        <v>141.9</v>
      </c>
      <c r="V259">
        <v>149.80000000000001</v>
      </c>
      <c r="W259">
        <v>154.5</v>
      </c>
      <c r="X259">
        <v>148.9</v>
      </c>
      <c r="Y259">
        <v>146.4</v>
      </c>
      <c r="Z259">
        <v>152.30000000000001</v>
      </c>
      <c r="AA259">
        <v>129.9</v>
      </c>
      <c r="AB259">
        <v>143.69999999999999</v>
      </c>
      <c r="AC259">
        <v>156.1</v>
      </c>
      <c r="AD259">
        <v>145.19999999999999</v>
      </c>
      <c r="AE259">
        <v>143.80000000000001</v>
      </c>
      <c r="AF259">
        <v>148.6</v>
      </c>
    </row>
    <row r="260" spans="1:32"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R260">
        <v>150.1</v>
      </c>
      <c r="S260" t="s">
        <v>32</v>
      </c>
      <c r="T260" t="s">
        <v>32</v>
      </c>
      <c r="U260" t="s">
        <v>32</v>
      </c>
      <c r="V260" t="s">
        <v>32</v>
      </c>
      <c r="W260" t="s">
        <v>32</v>
      </c>
      <c r="X260">
        <v>148.4</v>
      </c>
      <c r="Y260" t="s">
        <v>32</v>
      </c>
      <c r="Z260">
        <v>154.30000000000001</v>
      </c>
      <c r="AA260" t="s">
        <v>32</v>
      </c>
      <c r="AB260" t="s">
        <v>32</v>
      </c>
      <c r="AC260" t="s">
        <v>32</v>
      </c>
      <c r="AD260" t="s">
        <v>32</v>
      </c>
      <c r="AE260" t="s">
        <v>32</v>
      </c>
      <c r="AF260" t="s">
        <v>32</v>
      </c>
    </row>
    <row r="261" spans="1:32"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R261">
        <v>153.5</v>
      </c>
      <c r="S261" t="s">
        <v>32</v>
      </c>
      <c r="T261" t="s">
        <v>32</v>
      </c>
      <c r="U261" t="s">
        <v>32</v>
      </c>
      <c r="V261" t="s">
        <v>32</v>
      </c>
      <c r="W261">
        <v>155.6</v>
      </c>
      <c r="X261">
        <v>137.1</v>
      </c>
      <c r="Y261" t="s">
        <v>32</v>
      </c>
      <c r="Z261">
        <v>144.80000000000001</v>
      </c>
      <c r="AA261" t="s">
        <v>32</v>
      </c>
      <c r="AB261" t="s">
        <v>32</v>
      </c>
      <c r="AC261" t="s">
        <v>32</v>
      </c>
      <c r="AD261" t="s">
        <v>32</v>
      </c>
      <c r="AE261" t="s">
        <v>32</v>
      </c>
      <c r="AF261" t="s">
        <v>32</v>
      </c>
    </row>
    <row r="262" spans="1:32" hidden="1"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R262">
        <v>151.4</v>
      </c>
      <c r="S262" t="s">
        <v>32</v>
      </c>
      <c r="T262" t="s">
        <v>32</v>
      </c>
      <c r="U262" t="s">
        <v>32</v>
      </c>
      <c r="V262" t="s">
        <v>32</v>
      </c>
      <c r="W262">
        <v>155.6</v>
      </c>
      <c r="X262">
        <v>144.1</v>
      </c>
      <c r="Y262" t="s">
        <v>32</v>
      </c>
      <c r="Z262">
        <v>150.69999999999999</v>
      </c>
      <c r="AA262" t="s">
        <v>32</v>
      </c>
      <c r="AB262" t="s">
        <v>32</v>
      </c>
      <c r="AC262" t="s">
        <v>32</v>
      </c>
      <c r="AD262" t="s">
        <v>32</v>
      </c>
      <c r="AE262" t="s">
        <v>32</v>
      </c>
      <c r="AF262" t="s">
        <v>32</v>
      </c>
    </row>
    <row r="263" spans="1:32"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R263" t="s">
        <v>32</v>
      </c>
      <c r="S263" t="s">
        <v>32</v>
      </c>
      <c r="T263" t="s">
        <v>32</v>
      </c>
      <c r="U263" t="s">
        <v>32</v>
      </c>
      <c r="V263" t="s">
        <v>32</v>
      </c>
      <c r="W263" t="s">
        <v>32</v>
      </c>
      <c r="X263" t="s">
        <v>32</v>
      </c>
      <c r="Y263" t="s">
        <v>32</v>
      </c>
      <c r="Z263" t="s">
        <v>32</v>
      </c>
      <c r="AA263" t="s">
        <v>32</v>
      </c>
      <c r="AB263" t="s">
        <v>32</v>
      </c>
      <c r="AC263" t="s">
        <v>32</v>
      </c>
      <c r="AD263" t="s">
        <v>32</v>
      </c>
      <c r="AE263" t="s">
        <v>32</v>
      </c>
      <c r="AF263" t="s">
        <v>32</v>
      </c>
    </row>
    <row r="264" spans="1:32"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R264" t="s">
        <v>32</v>
      </c>
      <c r="S264" t="s">
        <v>32</v>
      </c>
      <c r="T264" t="s">
        <v>32</v>
      </c>
      <c r="U264" t="s">
        <v>32</v>
      </c>
      <c r="V264" t="s">
        <v>32</v>
      </c>
      <c r="W264" t="s">
        <v>32</v>
      </c>
      <c r="X264" t="s">
        <v>32</v>
      </c>
      <c r="Y264" t="s">
        <v>32</v>
      </c>
      <c r="Z264" t="s">
        <v>32</v>
      </c>
      <c r="AA264" t="s">
        <v>32</v>
      </c>
      <c r="AB264" t="s">
        <v>32</v>
      </c>
      <c r="AC264" t="s">
        <v>32</v>
      </c>
      <c r="AD264" t="s">
        <v>32</v>
      </c>
      <c r="AE264" t="s">
        <v>32</v>
      </c>
      <c r="AF264" t="s">
        <v>32</v>
      </c>
    </row>
    <row r="265" spans="1:32" hidden="1"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R265" t="s">
        <v>32</v>
      </c>
      <c r="S265" t="s">
        <v>32</v>
      </c>
      <c r="T265" t="s">
        <v>32</v>
      </c>
      <c r="U265" t="s">
        <v>32</v>
      </c>
      <c r="V265" t="s">
        <v>32</v>
      </c>
      <c r="W265" t="s">
        <v>32</v>
      </c>
      <c r="X265" t="s">
        <v>32</v>
      </c>
      <c r="Y265" t="s">
        <v>32</v>
      </c>
      <c r="Z265" t="s">
        <v>32</v>
      </c>
      <c r="AA265" t="s">
        <v>32</v>
      </c>
      <c r="AB265" t="s">
        <v>32</v>
      </c>
      <c r="AC265" t="s">
        <v>32</v>
      </c>
      <c r="AD265" t="s">
        <v>32</v>
      </c>
      <c r="AE265" t="s">
        <v>32</v>
      </c>
      <c r="AF265" t="s">
        <v>32</v>
      </c>
    </row>
    <row r="266" spans="1:32"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R266">
        <v>152.30000000000001</v>
      </c>
      <c r="S266">
        <v>182.4</v>
      </c>
      <c r="T266">
        <v>154.69999999999999</v>
      </c>
      <c r="U266">
        <v>150</v>
      </c>
      <c r="V266">
        <v>154.1</v>
      </c>
      <c r="W266" t="s">
        <v>32</v>
      </c>
      <c r="X266">
        <v>144.9</v>
      </c>
      <c r="Y266">
        <v>151.69999999999999</v>
      </c>
      <c r="Z266">
        <v>158.19999999999999</v>
      </c>
      <c r="AA266">
        <v>141.4</v>
      </c>
      <c r="AB266">
        <v>153.19999999999999</v>
      </c>
      <c r="AC266">
        <v>161.80000000000001</v>
      </c>
      <c r="AD266">
        <v>151.19999999999999</v>
      </c>
      <c r="AE266">
        <v>151.69999999999999</v>
      </c>
      <c r="AF266">
        <v>152.69999999999999</v>
      </c>
    </row>
    <row r="267" spans="1:32"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R267">
        <v>157</v>
      </c>
      <c r="S267">
        <v>186.7</v>
      </c>
      <c r="T267">
        <v>149.1</v>
      </c>
      <c r="U267">
        <v>136.6</v>
      </c>
      <c r="V267">
        <v>147.19999999999999</v>
      </c>
      <c r="W267">
        <v>154.69999999999999</v>
      </c>
      <c r="X267">
        <v>137.1</v>
      </c>
      <c r="Y267">
        <v>140.4</v>
      </c>
      <c r="Z267">
        <v>148.1</v>
      </c>
      <c r="AA267">
        <v>129.30000000000001</v>
      </c>
      <c r="AB267">
        <v>144.5</v>
      </c>
      <c r="AC267">
        <v>152.5</v>
      </c>
      <c r="AD267">
        <v>152.19999999999999</v>
      </c>
      <c r="AE267">
        <v>142</v>
      </c>
      <c r="AF267">
        <v>150.80000000000001</v>
      </c>
    </row>
    <row r="268" spans="1:32" hidden="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R268">
        <v>154</v>
      </c>
      <c r="S268">
        <v>183.5</v>
      </c>
      <c r="T268">
        <v>152.5</v>
      </c>
      <c r="U268">
        <v>144.4</v>
      </c>
      <c r="V268">
        <v>151.4</v>
      </c>
      <c r="W268">
        <v>154.69999999999999</v>
      </c>
      <c r="X268">
        <v>141.9</v>
      </c>
      <c r="Y268">
        <v>146.4</v>
      </c>
      <c r="Z268">
        <v>154.4</v>
      </c>
      <c r="AA268">
        <v>135</v>
      </c>
      <c r="AB268">
        <v>148.30000000000001</v>
      </c>
      <c r="AC268">
        <v>156.4</v>
      </c>
      <c r="AD268">
        <v>151.6</v>
      </c>
      <c r="AE268">
        <v>147</v>
      </c>
      <c r="AF268">
        <v>151.80000000000001</v>
      </c>
    </row>
    <row r="269" spans="1:32"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R269">
        <v>152.30000000000001</v>
      </c>
      <c r="S269">
        <v>182.4</v>
      </c>
      <c r="T269">
        <v>154.69999999999999</v>
      </c>
      <c r="U269">
        <v>150</v>
      </c>
      <c r="V269">
        <v>154.1</v>
      </c>
      <c r="W269" t="s">
        <v>32</v>
      </c>
      <c r="X269">
        <v>144.9</v>
      </c>
      <c r="Y269">
        <v>151.69999999999999</v>
      </c>
      <c r="Z269">
        <v>158.19999999999999</v>
      </c>
      <c r="AA269">
        <v>141.4</v>
      </c>
      <c r="AB269">
        <v>153.19999999999999</v>
      </c>
      <c r="AC269">
        <v>161.80000000000001</v>
      </c>
      <c r="AD269">
        <v>151.19999999999999</v>
      </c>
      <c r="AE269">
        <v>151.69999999999999</v>
      </c>
      <c r="AF269">
        <v>152.69999999999999</v>
      </c>
    </row>
    <row r="270" spans="1:32"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R270">
        <v>157</v>
      </c>
      <c r="S270">
        <v>186.7</v>
      </c>
      <c r="T270">
        <v>149.1</v>
      </c>
      <c r="U270">
        <v>136.6</v>
      </c>
      <c r="V270">
        <v>147.19999999999999</v>
      </c>
      <c r="W270">
        <v>154.69999999999999</v>
      </c>
      <c r="X270">
        <v>137.1</v>
      </c>
      <c r="Y270">
        <v>140.4</v>
      </c>
      <c r="Z270">
        <v>148.1</v>
      </c>
      <c r="AA270">
        <v>129.30000000000001</v>
      </c>
      <c r="AB270">
        <v>144.5</v>
      </c>
      <c r="AC270">
        <v>152.5</v>
      </c>
      <c r="AD270">
        <v>152.19999999999999</v>
      </c>
      <c r="AE270">
        <v>142</v>
      </c>
      <c r="AF270">
        <v>150.80000000000001</v>
      </c>
    </row>
    <row r="271" spans="1:32" hidden="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R271">
        <v>154</v>
      </c>
      <c r="S271">
        <v>183.5</v>
      </c>
      <c r="T271">
        <v>152.5</v>
      </c>
      <c r="U271">
        <v>144.4</v>
      </c>
      <c r="V271">
        <v>151.4</v>
      </c>
      <c r="W271">
        <v>154.69999999999999</v>
      </c>
      <c r="X271">
        <v>141.9</v>
      </c>
      <c r="Y271">
        <v>146.4</v>
      </c>
      <c r="Z271">
        <v>154.4</v>
      </c>
      <c r="AA271">
        <v>135</v>
      </c>
      <c r="AB271">
        <v>148.30000000000001</v>
      </c>
      <c r="AC271">
        <v>156.4</v>
      </c>
      <c r="AD271">
        <v>151.6</v>
      </c>
      <c r="AE271">
        <v>147</v>
      </c>
      <c r="AF271">
        <v>151.80000000000001</v>
      </c>
    </row>
    <row r="272" spans="1:32"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R272">
        <v>155.30000000000001</v>
      </c>
      <c r="S272">
        <v>180.9</v>
      </c>
      <c r="T272">
        <v>155.1</v>
      </c>
      <c r="U272">
        <v>149.30000000000001</v>
      </c>
      <c r="V272">
        <v>154.30000000000001</v>
      </c>
      <c r="W272" t="s">
        <v>32</v>
      </c>
      <c r="X272">
        <v>145.80000000000001</v>
      </c>
      <c r="Y272">
        <v>151.9</v>
      </c>
      <c r="Z272">
        <v>158.80000000000001</v>
      </c>
      <c r="AA272">
        <v>143.6</v>
      </c>
      <c r="AB272">
        <v>152.19999999999999</v>
      </c>
      <c r="AC272">
        <v>162.69999999999999</v>
      </c>
      <c r="AD272">
        <v>153.6</v>
      </c>
      <c r="AE272">
        <v>153</v>
      </c>
      <c r="AF272">
        <v>154.69999999999999</v>
      </c>
    </row>
    <row r="273" spans="1:32"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R273">
        <v>159.9</v>
      </c>
      <c r="S273">
        <v>187.2</v>
      </c>
      <c r="T273">
        <v>150</v>
      </c>
      <c r="U273">
        <v>135.19999999999999</v>
      </c>
      <c r="V273">
        <v>147.80000000000001</v>
      </c>
      <c r="W273">
        <v>155.5</v>
      </c>
      <c r="X273">
        <v>138.30000000000001</v>
      </c>
      <c r="Y273">
        <v>144.5</v>
      </c>
      <c r="Z273">
        <v>148.69999999999999</v>
      </c>
      <c r="AA273">
        <v>133.9</v>
      </c>
      <c r="AB273">
        <v>141.19999999999999</v>
      </c>
      <c r="AC273">
        <v>155.5</v>
      </c>
      <c r="AD273">
        <v>155.19999999999999</v>
      </c>
      <c r="AE273">
        <v>144.80000000000001</v>
      </c>
      <c r="AF273">
        <v>152.9</v>
      </c>
    </row>
    <row r="274" spans="1:32" hidden="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R274">
        <v>157</v>
      </c>
      <c r="S274">
        <v>182.6</v>
      </c>
      <c r="T274">
        <v>153.1</v>
      </c>
      <c r="U274">
        <v>143.4</v>
      </c>
      <c r="V274">
        <v>151.69999999999999</v>
      </c>
      <c r="W274">
        <v>155.5</v>
      </c>
      <c r="X274">
        <v>143</v>
      </c>
      <c r="Y274">
        <v>148.4</v>
      </c>
      <c r="Z274">
        <v>155</v>
      </c>
      <c r="AA274">
        <v>138.5</v>
      </c>
      <c r="AB274">
        <v>146</v>
      </c>
      <c r="AC274">
        <v>158.5</v>
      </c>
      <c r="AD274">
        <v>154.30000000000001</v>
      </c>
      <c r="AE274">
        <v>149</v>
      </c>
      <c r="AF274">
        <v>153.9</v>
      </c>
    </row>
    <row r="275" spans="1:32"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R275">
        <v>156.1</v>
      </c>
      <c r="S275">
        <v>182.9</v>
      </c>
      <c r="T275">
        <v>155.4</v>
      </c>
      <c r="U275">
        <v>149.9</v>
      </c>
      <c r="V275">
        <v>154.6</v>
      </c>
      <c r="W275" t="s">
        <v>32</v>
      </c>
      <c r="X275">
        <v>146.4</v>
      </c>
      <c r="Y275">
        <v>151.6</v>
      </c>
      <c r="Z275">
        <v>159.1</v>
      </c>
      <c r="AA275">
        <v>144.6</v>
      </c>
      <c r="AB275">
        <v>152.80000000000001</v>
      </c>
      <c r="AC275">
        <v>161.1</v>
      </c>
      <c r="AD275">
        <v>157.4</v>
      </c>
      <c r="AE275">
        <v>153.69999999999999</v>
      </c>
      <c r="AF275">
        <v>155.4</v>
      </c>
    </row>
    <row r="276" spans="1:32"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R276">
        <v>161.30000000000001</v>
      </c>
      <c r="S276">
        <v>188.7</v>
      </c>
      <c r="T276">
        <v>150.19999999999999</v>
      </c>
      <c r="U276">
        <v>136.30000000000001</v>
      </c>
      <c r="V276">
        <v>148.1</v>
      </c>
      <c r="W276">
        <v>156.30000000000001</v>
      </c>
      <c r="X276">
        <v>137.19999999999999</v>
      </c>
      <c r="Y276">
        <v>145.4</v>
      </c>
      <c r="Z276">
        <v>150</v>
      </c>
      <c r="AA276">
        <v>135.1</v>
      </c>
      <c r="AB276">
        <v>141.80000000000001</v>
      </c>
      <c r="AC276">
        <v>154.9</v>
      </c>
      <c r="AD276">
        <v>159.80000000000001</v>
      </c>
      <c r="AE276">
        <v>146</v>
      </c>
      <c r="AF276">
        <v>154</v>
      </c>
    </row>
    <row r="277" spans="1:32" hidden="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R277">
        <v>158</v>
      </c>
      <c r="S277">
        <v>184.4</v>
      </c>
      <c r="T277">
        <v>153.4</v>
      </c>
      <c r="U277">
        <v>144.30000000000001</v>
      </c>
      <c r="V277">
        <v>152</v>
      </c>
      <c r="W277">
        <v>156.30000000000001</v>
      </c>
      <c r="X277">
        <v>142.9</v>
      </c>
      <c r="Y277">
        <v>148.69999999999999</v>
      </c>
      <c r="Z277">
        <v>155.6</v>
      </c>
      <c r="AA277">
        <v>139.6</v>
      </c>
      <c r="AB277">
        <v>146.6</v>
      </c>
      <c r="AC277">
        <v>157.5</v>
      </c>
      <c r="AD277">
        <v>158.4</v>
      </c>
      <c r="AE277">
        <v>150</v>
      </c>
      <c r="AF277">
        <v>154.69999999999999</v>
      </c>
    </row>
    <row r="278" spans="1:32"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R278">
        <v>159.6</v>
      </c>
      <c r="S278">
        <v>182.7</v>
      </c>
      <c r="T278">
        <v>155.69999999999999</v>
      </c>
      <c r="U278">
        <v>150.6</v>
      </c>
      <c r="V278">
        <v>155</v>
      </c>
      <c r="W278" t="s">
        <v>32</v>
      </c>
      <c r="X278">
        <v>146.80000000000001</v>
      </c>
      <c r="Y278">
        <v>152</v>
      </c>
      <c r="Z278">
        <v>159.5</v>
      </c>
      <c r="AA278">
        <v>146.4</v>
      </c>
      <c r="AB278">
        <v>152.4</v>
      </c>
      <c r="AC278">
        <v>162.5</v>
      </c>
      <c r="AD278">
        <v>156.19999999999999</v>
      </c>
      <c r="AE278">
        <v>154.30000000000001</v>
      </c>
      <c r="AF278">
        <v>157.5</v>
      </c>
    </row>
    <row r="279" spans="1:32"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R279">
        <v>164.4</v>
      </c>
      <c r="S279">
        <v>188.7</v>
      </c>
      <c r="T279">
        <v>150.5</v>
      </c>
      <c r="U279">
        <v>136.1</v>
      </c>
      <c r="V279">
        <v>148.30000000000001</v>
      </c>
      <c r="W279">
        <v>156.5</v>
      </c>
      <c r="X279">
        <v>137.1</v>
      </c>
      <c r="Y279">
        <v>145.1</v>
      </c>
      <c r="Z279">
        <v>151</v>
      </c>
      <c r="AA279">
        <v>135.4</v>
      </c>
      <c r="AB279">
        <v>142</v>
      </c>
      <c r="AC279">
        <v>155.69999999999999</v>
      </c>
      <c r="AD279">
        <v>158.1</v>
      </c>
      <c r="AE279">
        <v>146.19999999999999</v>
      </c>
      <c r="AF279">
        <v>155.19999999999999</v>
      </c>
    </row>
    <row r="280" spans="1:32" hidden="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R280">
        <v>161.4</v>
      </c>
      <c r="S280">
        <v>184.3</v>
      </c>
      <c r="T280">
        <v>153.69999999999999</v>
      </c>
      <c r="U280">
        <v>144.6</v>
      </c>
      <c r="V280">
        <v>152.30000000000001</v>
      </c>
      <c r="W280">
        <v>156.5</v>
      </c>
      <c r="X280">
        <v>143.1</v>
      </c>
      <c r="Y280">
        <v>148.69999999999999</v>
      </c>
      <c r="Z280">
        <v>156.30000000000001</v>
      </c>
      <c r="AA280">
        <v>140.6</v>
      </c>
      <c r="AB280">
        <v>146.5</v>
      </c>
      <c r="AC280">
        <v>158.5</v>
      </c>
      <c r="AD280">
        <v>157</v>
      </c>
      <c r="AE280">
        <v>150.4</v>
      </c>
      <c r="AF280">
        <v>156.4</v>
      </c>
    </row>
    <row r="281" spans="1:32"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R281">
        <v>163.4</v>
      </c>
      <c r="S281">
        <v>183.4</v>
      </c>
      <c r="T281">
        <v>156.30000000000001</v>
      </c>
      <c r="U281">
        <v>151</v>
      </c>
      <c r="V281">
        <v>155.5</v>
      </c>
      <c r="W281" t="s">
        <v>32</v>
      </c>
      <c r="X281">
        <v>147.5</v>
      </c>
      <c r="Y281">
        <v>152.80000000000001</v>
      </c>
      <c r="Z281">
        <v>160.4</v>
      </c>
      <c r="AA281">
        <v>146.1</v>
      </c>
      <c r="AB281">
        <v>153.6</v>
      </c>
      <c r="AC281">
        <v>161.6</v>
      </c>
      <c r="AD281">
        <v>156.19999999999999</v>
      </c>
      <c r="AE281">
        <v>154.5</v>
      </c>
      <c r="AF281">
        <v>159.80000000000001</v>
      </c>
    </row>
    <row r="282" spans="1:32"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R282">
        <v>167</v>
      </c>
      <c r="S282">
        <v>188.8</v>
      </c>
      <c r="T282">
        <v>151.1</v>
      </c>
      <c r="U282">
        <v>136.4</v>
      </c>
      <c r="V282">
        <v>148.80000000000001</v>
      </c>
      <c r="W282">
        <v>158</v>
      </c>
      <c r="X282">
        <v>137.30000000000001</v>
      </c>
      <c r="Y282">
        <v>145.1</v>
      </c>
      <c r="Z282">
        <v>152</v>
      </c>
      <c r="AA282">
        <v>135.19999999999999</v>
      </c>
      <c r="AB282">
        <v>144.4</v>
      </c>
      <c r="AC282">
        <v>156.4</v>
      </c>
      <c r="AD282">
        <v>157.9</v>
      </c>
      <c r="AE282">
        <v>146.6</v>
      </c>
      <c r="AF282">
        <v>156.69999999999999</v>
      </c>
    </row>
    <row r="283" spans="1:32" hidden="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R283">
        <v>164.7</v>
      </c>
      <c r="S283">
        <v>184.8</v>
      </c>
      <c r="T283">
        <v>154.30000000000001</v>
      </c>
      <c r="U283">
        <v>144.9</v>
      </c>
      <c r="V283">
        <v>152.80000000000001</v>
      </c>
      <c r="W283">
        <v>158</v>
      </c>
      <c r="X283">
        <v>143.6</v>
      </c>
      <c r="Y283">
        <v>149.19999999999999</v>
      </c>
      <c r="Z283">
        <v>157.19999999999999</v>
      </c>
      <c r="AA283">
        <v>140.4</v>
      </c>
      <c r="AB283">
        <v>148.4</v>
      </c>
      <c r="AC283">
        <v>158.6</v>
      </c>
      <c r="AD283">
        <v>156.9</v>
      </c>
      <c r="AE283">
        <v>150.69999999999999</v>
      </c>
      <c r="AF283">
        <v>158.4</v>
      </c>
    </row>
    <row r="284" spans="1:32"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R284">
        <v>164.5</v>
      </c>
      <c r="S284">
        <v>183.6</v>
      </c>
      <c r="T284">
        <v>157</v>
      </c>
      <c r="U284">
        <v>151.6</v>
      </c>
      <c r="V284">
        <v>156.30000000000001</v>
      </c>
      <c r="W284" t="s">
        <v>32</v>
      </c>
      <c r="X284">
        <v>148.69999999999999</v>
      </c>
      <c r="Y284">
        <v>153.4</v>
      </c>
      <c r="Z284">
        <v>161.6</v>
      </c>
      <c r="AA284">
        <v>146.4</v>
      </c>
      <c r="AB284">
        <v>153.9</v>
      </c>
      <c r="AC284">
        <v>162.9</v>
      </c>
      <c r="AD284">
        <v>156.6</v>
      </c>
      <c r="AE284">
        <v>155.19999999999999</v>
      </c>
      <c r="AF284">
        <v>160.69999999999999</v>
      </c>
    </row>
    <row r="285" spans="1:32"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R285">
        <v>167</v>
      </c>
      <c r="S285">
        <v>190.2</v>
      </c>
      <c r="T285">
        <v>151.9</v>
      </c>
      <c r="U285">
        <v>136.69999999999999</v>
      </c>
      <c r="V285">
        <v>149.6</v>
      </c>
      <c r="W285">
        <v>158.4</v>
      </c>
      <c r="X285">
        <v>137.9</v>
      </c>
      <c r="Y285">
        <v>145.5</v>
      </c>
      <c r="Z285">
        <v>152.9</v>
      </c>
      <c r="AA285">
        <v>135.5</v>
      </c>
      <c r="AB285">
        <v>144.30000000000001</v>
      </c>
      <c r="AC285">
        <v>156.9</v>
      </c>
      <c r="AD285">
        <v>157.9</v>
      </c>
      <c r="AE285">
        <v>146.9</v>
      </c>
      <c r="AF285">
        <v>156.9</v>
      </c>
    </row>
    <row r="286" spans="1:32" hidden="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R286">
        <v>165.4</v>
      </c>
      <c r="S286">
        <v>185.4</v>
      </c>
      <c r="T286">
        <v>155</v>
      </c>
      <c r="U286">
        <v>145.4</v>
      </c>
      <c r="V286">
        <v>153.6</v>
      </c>
      <c r="W286">
        <v>158.4</v>
      </c>
      <c r="X286">
        <v>144.6</v>
      </c>
      <c r="Y286">
        <v>149.69999999999999</v>
      </c>
      <c r="Z286">
        <v>158.30000000000001</v>
      </c>
      <c r="AA286">
        <v>140.69999999999999</v>
      </c>
      <c r="AB286">
        <v>148.5</v>
      </c>
      <c r="AC286">
        <v>159.4</v>
      </c>
      <c r="AD286">
        <v>157.1</v>
      </c>
      <c r="AE286">
        <v>151.19999999999999</v>
      </c>
      <c r="AF286">
        <v>158.9</v>
      </c>
    </row>
    <row r="287" spans="1:32"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R287">
        <v>159.6</v>
      </c>
      <c r="S287">
        <v>184.6</v>
      </c>
      <c r="T287">
        <v>157.5</v>
      </c>
      <c r="U287">
        <v>152.4</v>
      </c>
      <c r="V287">
        <v>156.80000000000001</v>
      </c>
      <c r="W287" t="s">
        <v>32</v>
      </c>
      <c r="X287">
        <v>150.9</v>
      </c>
      <c r="Y287">
        <v>153.9</v>
      </c>
      <c r="Z287">
        <v>162.5</v>
      </c>
      <c r="AA287">
        <v>147.5</v>
      </c>
      <c r="AB287">
        <v>155.1</v>
      </c>
      <c r="AC287">
        <v>163.5</v>
      </c>
      <c r="AD287">
        <v>156.19999999999999</v>
      </c>
      <c r="AE287">
        <v>155.9</v>
      </c>
      <c r="AF287">
        <v>158.5</v>
      </c>
    </row>
    <row r="288" spans="1:32"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R288">
        <v>163.4</v>
      </c>
      <c r="S288">
        <v>191.8</v>
      </c>
      <c r="T288">
        <v>152.5</v>
      </c>
      <c r="U288">
        <v>137.30000000000001</v>
      </c>
      <c r="V288">
        <v>150.19999999999999</v>
      </c>
      <c r="W288">
        <v>157.69999999999999</v>
      </c>
      <c r="X288">
        <v>142.9</v>
      </c>
      <c r="Y288">
        <v>145.69999999999999</v>
      </c>
      <c r="Z288">
        <v>154.1</v>
      </c>
      <c r="AA288">
        <v>136.9</v>
      </c>
      <c r="AB288">
        <v>145.4</v>
      </c>
      <c r="AC288">
        <v>156.1</v>
      </c>
      <c r="AD288">
        <v>157.69999999999999</v>
      </c>
      <c r="AE288">
        <v>147.6</v>
      </c>
      <c r="AF288">
        <v>156</v>
      </c>
    </row>
    <row r="289" spans="1:32" hidden="1"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R289">
        <v>161</v>
      </c>
      <c r="S289">
        <v>186.5</v>
      </c>
      <c r="T289">
        <v>155.5</v>
      </c>
      <c r="U289">
        <v>146.1</v>
      </c>
      <c r="V289">
        <v>154.19999999999999</v>
      </c>
      <c r="W289">
        <v>157.69999999999999</v>
      </c>
      <c r="X289">
        <v>147.9</v>
      </c>
      <c r="Y289">
        <v>150</v>
      </c>
      <c r="Z289">
        <v>159.30000000000001</v>
      </c>
      <c r="AA289">
        <v>141.9</v>
      </c>
      <c r="AB289">
        <v>149.6</v>
      </c>
      <c r="AC289">
        <v>159.19999999999999</v>
      </c>
      <c r="AD289">
        <v>156.80000000000001</v>
      </c>
      <c r="AE289">
        <v>151.9</v>
      </c>
      <c r="AF289">
        <v>157.30000000000001</v>
      </c>
    </row>
    <row r="290" spans="1:32"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R290">
        <v>154.69999999999999</v>
      </c>
      <c r="S290">
        <v>186.5</v>
      </c>
      <c r="T290">
        <v>159.1</v>
      </c>
      <c r="U290">
        <v>153.9</v>
      </c>
      <c r="V290">
        <v>158.4</v>
      </c>
      <c r="W290" t="s">
        <v>32</v>
      </c>
      <c r="X290">
        <v>154.4</v>
      </c>
      <c r="Y290">
        <v>154.80000000000001</v>
      </c>
      <c r="Z290">
        <v>164.3</v>
      </c>
      <c r="AA290">
        <v>150.19999999999999</v>
      </c>
      <c r="AB290">
        <v>157</v>
      </c>
      <c r="AC290">
        <v>163.6</v>
      </c>
      <c r="AD290">
        <v>155.19999999999999</v>
      </c>
      <c r="AE290">
        <v>157.19999999999999</v>
      </c>
      <c r="AF290">
        <v>156.69999999999999</v>
      </c>
    </row>
    <row r="291" spans="1:32"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R291">
        <v>160.80000000000001</v>
      </c>
      <c r="S291">
        <v>193.3</v>
      </c>
      <c r="T291">
        <v>154.19999999999999</v>
      </c>
      <c r="U291">
        <v>138.19999999999999</v>
      </c>
      <c r="V291">
        <v>151.80000000000001</v>
      </c>
      <c r="W291">
        <v>159.80000000000001</v>
      </c>
      <c r="X291">
        <v>149.1</v>
      </c>
      <c r="Y291">
        <v>146.5</v>
      </c>
      <c r="Z291">
        <v>156.30000000000001</v>
      </c>
      <c r="AA291">
        <v>140.5</v>
      </c>
      <c r="AB291">
        <v>147.30000000000001</v>
      </c>
      <c r="AC291">
        <v>156.6</v>
      </c>
      <c r="AD291">
        <v>156.69999999999999</v>
      </c>
      <c r="AE291">
        <v>149.30000000000001</v>
      </c>
      <c r="AF291">
        <v>156.5</v>
      </c>
    </row>
    <row r="292" spans="1:32" hidden="1"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R292">
        <v>156.9</v>
      </c>
      <c r="S292">
        <v>188.3</v>
      </c>
      <c r="T292">
        <v>157.19999999999999</v>
      </c>
      <c r="U292">
        <v>147.4</v>
      </c>
      <c r="V292">
        <v>155.80000000000001</v>
      </c>
      <c r="W292">
        <v>159.80000000000001</v>
      </c>
      <c r="X292">
        <v>152.4</v>
      </c>
      <c r="Y292">
        <v>150.9</v>
      </c>
      <c r="Z292">
        <v>161.30000000000001</v>
      </c>
      <c r="AA292">
        <v>145.1</v>
      </c>
      <c r="AB292">
        <v>151.5</v>
      </c>
      <c r="AC292">
        <v>159.5</v>
      </c>
      <c r="AD292">
        <v>155.80000000000001</v>
      </c>
      <c r="AE292">
        <v>153.4</v>
      </c>
      <c r="AF292">
        <v>156.6</v>
      </c>
    </row>
    <row r="293" spans="1:32"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R293">
        <v>154.5</v>
      </c>
      <c r="S293">
        <v>186.1</v>
      </c>
      <c r="T293">
        <v>159.6</v>
      </c>
      <c r="U293">
        <v>154.4</v>
      </c>
      <c r="V293">
        <v>158.9</v>
      </c>
      <c r="W293" t="s">
        <v>48</v>
      </c>
      <c r="X293">
        <v>156</v>
      </c>
      <c r="Y293">
        <v>154.80000000000001</v>
      </c>
      <c r="Z293">
        <v>164.6</v>
      </c>
      <c r="AA293">
        <v>151.30000000000001</v>
      </c>
      <c r="AB293">
        <v>157.80000000000001</v>
      </c>
      <c r="AC293">
        <v>163.80000000000001</v>
      </c>
      <c r="AD293">
        <v>153.1</v>
      </c>
      <c r="AE293">
        <v>157.30000000000001</v>
      </c>
      <c r="AF293">
        <v>156.69999999999999</v>
      </c>
    </row>
    <row r="294" spans="1:32"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R294">
        <v>160.4</v>
      </c>
      <c r="S294">
        <v>193.5</v>
      </c>
      <c r="T294">
        <v>155.1</v>
      </c>
      <c r="U294">
        <v>138.69999999999999</v>
      </c>
      <c r="V294">
        <v>152.6</v>
      </c>
      <c r="W294">
        <v>159.9</v>
      </c>
      <c r="X294">
        <v>154.80000000000001</v>
      </c>
      <c r="Y294">
        <v>147.19999999999999</v>
      </c>
      <c r="Z294">
        <v>156.9</v>
      </c>
      <c r="AA294">
        <v>141.69999999999999</v>
      </c>
      <c r="AB294">
        <v>148.6</v>
      </c>
      <c r="AC294">
        <v>157.6</v>
      </c>
      <c r="AD294">
        <v>154.9</v>
      </c>
      <c r="AE294">
        <v>150</v>
      </c>
      <c r="AF294">
        <v>156.9</v>
      </c>
    </row>
    <row r="295" spans="1:32" hidden="1"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R295">
        <v>156.69999999999999</v>
      </c>
      <c r="S295">
        <v>188.1</v>
      </c>
      <c r="T295">
        <v>157.80000000000001</v>
      </c>
      <c r="U295">
        <v>147.9</v>
      </c>
      <c r="V295">
        <v>156.4</v>
      </c>
      <c r="W295">
        <v>159.9</v>
      </c>
      <c r="X295">
        <v>155.5</v>
      </c>
      <c r="Y295">
        <v>151.19999999999999</v>
      </c>
      <c r="Z295">
        <v>161.69999999999999</v>
      </c>
      <c r="AA295">
        <v>146.19999999999999</v>
      </c>
      <c r="AB295">
        <v>152.6</v>
      </c>
      <c r="AC295">
        <v>160.19999999999999</v>
      </c>
      <c r="AD295">
        <v>153.80000000000001</v>
      </c>
      <c r="AE295">
        <v>153.80000000000001</v>
      </c>
      <c r="AF295">
        <v>156.80000000000001</v>
      </c>
    </row>
    <row r="296" spans="1:32"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R296">
        <v>155.6</v>
      </c>
      <c r="S296">
        <v>186.8</v>
      </c>
      <c r="T296">
        <v>160.69999999999999</v>
      </c>
      <c r="U296">
        <v>155.1</v>
      </c>
      <c r="V296">
        <v>159.9</v>
      </c>
      <c r="W296" t="s">
        <v>48</v>
      </c>
      <c r="X296">
        <v>156</v>
      </c>
      <c r="Y296">
        <v>155.5</v>
      </c>
      <c r="Z296">
        <v>165.3</v>
      </c>
      <c r="AA296">
        <v>151.69999999999999</v>
      </c>
      <c r="AB296">
        <v>158.6</v>
      </c>
      <c r="AC296">
        <v>164.1</v>
      </c>
      <c r="AD296">
        <v>154.6</v>
      </c>
      <c r="AE296">
        <v>158</v>
      </c>
      <c r="AF296">
        <v>157.6</v>
      </c>
    </row>
    <row r="297" spans="1:32"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R297">
        <v>162</v>
      </c>
      <c r="S297">
        <v>194.4</v>
      </c>
      <c r="T297">
        <v>155.9</v>
      </c>
      <c r="U297">
        <v>139.30000000000001</v>
      </c>
      <c r="V297">
        <v>153.4</v>
      </c>
      <c r="W297">
        <v>161.4</v>
      </c>
      <c r="X297">
        <v>154.9</v>
      </c>
      <c r="Y297">
        <v>147.6</v>
      </c>
      <c r="Z297">
        <v>157.5</v>
      </c>
      <c r="AA297">
        <v>142.1</v>
      </c>
      <c r="AB297">
        <v>149.1</v>
      </c>
      <c r="AC297">
        <v>157.6</v>
      </c>
      <c r="AD297">
        <v>156.6</v>
      </c>
      <c r="AE297">
        <v>150.5</v>
      </c>
      <c r="AF297">
        <v>158</v>
      </c>
    </row>
    <row r="298" spans="1:32" hidden="1"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R298">
        <v>158</v>
      </c>
      <c r="S298">
        <v>188.8</v>
      </c>
      <c r="T298">
        <v>158.80000000000001</v>
      </c>
      <c r="U298">
        <v>148.5</v>
      </c>
      <c r="V298">
        <v>157.30000000000001</v>
      </c>
      <c r="W298">
        <v>161.4</v>
      </c>
      <c r="X298">
        <v>155.6</v>
      </c>
      <c r="Y298">
        <v>151.80000000000001</v>
      </c>
      <c r="Z298">
        <v>162.30000000000001</v>
      </c>
      <c r="AA298">
        <v>146.6</v>
      </c>
      <c r="AB298">
        <v>153.19999999999999</v>
      </c>
      <c r="AC298">
        <v>160.30000000000001</v>
      </c>
      <c r="AD298">
        <v>155.4</v>
      </c>
      <c r="AE298">
        <v>154.4</v>
      </c>
      <c r="AF298">
        <v>157.80000000000001</v>
      </c>
    </row>
    <row r="299" spans="1:32"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R299">
        <v>158.69999999999999</v>
      </c>
      <c r="S299">
        <v>189.6</v>
      </c>
      <c r="T299">
        <v>165.3</v>
      </c>
      <c r="U299">
        <v>160.6</v>
      </c>
      <c r="V299">
        <v>164.5</v>
      </c>
      <c r="W299" t="s">
        <v>32</v>
      </c>
      <c r="X299">
        <v>161.69999999999999</v>
      </c>
      <c r="Y299">
        <v>158.80000000000001</v>
      </c>
      <c r="Z299">
        <v>169.1</v>
      </c>
      <c r="AA299">
        <v>153.19999999999999</v>
      </c>
      <c r="AB299">
        <v>160</v>
      </c>
      <c r="AC299">
        <v>167.6</v>
      </c>
      <c r="AD299">
        <v>159.30000000000001</v>
      </c>
      <c r="AE299">
        <v>161.1</v>
      </c>
      <c r="AF299">
        <v>161.1</v>
      </c>
    </row>
    <row r="300" spans="1:32"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R300">
        <v>164.2</v>
      </c>
      <c r="S300">
        <v>198.2</v>
      </c>
      <c r="T300">
        <v>156.5</v>
      </c>
      <c r="U300">
        <v>140.19999999999999</v>
      </c>
      <c r="V300">
        <v>154.1</v>
      </c>
      <c r="W300">
        <v>161.6</v>
      </c>
      <c r="X300">
        <v>155.5</v>
      </c>
      <c r="Y300">
        <v>150.1</v>
      </c>
      <c r="Z300">
        <v>160.4</v>
      </c>
      <c r="AA300">
        <v>145</v>
      </c>
      <c r="AB300">
        <v>152.6</v>
      </c>
      <c r="AC300">
        <v>156.6</v>
      </c>
      <c r="AD300">
        <v>157.5</v>
      </c>
      <c r="AE300">
        <v>152.30000000000001</v>
      </c>
      <c r="AF300">
        <v>159.5</v>
      </c>
    </row>
    <row r="301" spans="1:32" hidden="1"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R301">
        <v>160.69999999999999</v>
      </c>
      <c r="S301">
        <v>191.9</v>
      </c>
      <c r="T301">
        <v>161.80000000000001</v>
      </c>
      <c r="U301">
        <v>152.1</v>
      </c>
      <c r="V301">
        <v>160.4</v>
      </c>
      <c r="W301">
        <v>161.6</v>
      </c>
      <c r="X301">
        <v>159.4</v>
      </c>
      <c r="Y301">
        <v>154.69999999999999</v>
      </c>
      <c r="Z301">
        <v>165.8</v>
      </c>
      <c r="AA301">
        <v>148.9</v>
      </c>
      <c r="AB301">
        <v>155.80000000000001</v>
      </c>
      <c r="AC301">
        <v>161.19999999999999</v>
      </c>
      <c r="AD301">
        <v>158.6</v>
      </c>
      <c r="AE301">
        <v>156.80000000000001</v>
      </c>
      <c r="AF301">
        <v>160.4</v>
      </c>
    </row>
    <row r="302" spans="1:32"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R302">
        <v>160.5</v>
      </c>
      <c r="S302">
        <v>189.1</v>
      </c>
      <c r="T302">
        <v>165.3</v>
      </c>
      <c r="U302">
        <v>159.9</v>
      </c>
      <c r="V302">
        <v>164.6</v>
      </c>
      <c r="W302" t="s">
        <v>32</v>
      </c>
      <c r="X302">
        <v>162.1</v>
      </c>
      <c r="Y302">
        <v>159.19999999999999</v>
      </c>
      <c r="Z302">
        <v>169.7</v>
      </c>
      <c r="AA302">
        <v>154.19999999999999</v>
      </c>
      <c r="AB302">
        <v>160.4</v>
      </c>
      <c r="AC302">
        <v>166.8</v>
      </c>
      <c r="AD302">
        <v>159.4</v>
      </c>
      <c r="AE302">
        <v>161.5</v>
      </c>
      <c r="AF302">
        <v>162.1</v>
      </c>
    </row>
    <row r="303" spans="1:32"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R303">
        <v>166.2</v>
      </c>
      <c r="S303">
        <v>195.6</v>
      </c>
      <c r="T303">
        <v>157.30000000000001</v>
      </c>
      <c r="U303">
        <v>140.5</v>
      </c>
      <c r="V303">
        <v>154.80000000000001</v>
      </c>
      <c r="W303">
        <v>160.5</v>
      </c>
      <c r="X303">
        <v>156.1</v>
      </c>
      <c r="Y303">
        <v>149.80000000000001</v>
      </c>
      <c r="Z303">
        <v>160.80000000000001</v>
      </c>
      <c r="AA303">
        <v>147.5</v>
      </c>
      <c r="AB303">
        <v>150.69999999999999</v>
      </c>
      <c r="AC303">
        <v>158.1</v>
      </c>
      <c r="AD303">
        <v>158</v>
      </c>
      <c r="AE303">
        <v>153.4</v>
      </c>
      <c r="AF303">
        <v>160.4</v>
      </c>
    </row>
    <row r="304" spans="1:32" hidden="1"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R304">
        <v>162.6</v>
      </c>
      <c r="S304">
        <v>190.8</v>
      </c>
      <c r="T304">
        <v>162.19999999999999</v>
      </c>
      <c r="U304">
        <v>151.80000000000001</v>
      </c>
      <c r="V304">
        <v>160.69999999999999</v>
      </c>
      <c r="W304">
        <v>160.5</v>
      </c>
      <c r="X304">
        <v>159.80000000000001</v>
      </c>
      <c r="Y304">
        <v>154.80000000000001</v>
      </c>
      <c r="Z304">
        <v>166.3</v>
      </c>
      <c r="AA304">
        <v>150.69999999999999</v>
      </c>
      <c r="AB304">
        <v>154.9</v>
      </c>
      <c r="AC304">
        <v>161.69999999999999</v>
      </c>
      <c r="AD304">
        <v>158.80000000000001</v>
      </c>
      <c r="AE304">
        <v>157.6</v>
      </c>
      <c r="AF304">
        <v>161.30000000000001</v>
      </c>
    </row>
    <row r="305" spans="1:32"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R305">
        <v>161.69999999999999</v>
      </c>
      <c r="S305">
        <v>189.7</v>
      </c>
      <c r="T305">
        <v>166</v>
      </c>
      <c r="U305">
        <v>161.1</v>
      </c>
      <c r="V305">
        <v>165.3</v>
      </c>
      <c r="W305" t="s">
        <v>32</v>
      </c>
      <c r="X305">
        <v>162.5</v>
      </c>
      <c r="Y305">
        <v>160.30000000000001</v>
      </c>
      <c r="Z305">
        <v>170.4</v>
      </c>
      <c r="AA305">
        <v>157.1</v>
      </c>
      <c r="AB305">
        <v>160.69999999999999</v>
      </c>
      <c r="AC305">
        <v>167.2</v>
      </c>
      <c r="AD305">
        <v>160.4</v>
      </c>
      <c r="AE305">
        <v>162.80000000000001</v>
      </c>
      <c r="AF305">
        <v>163.19999999999999</v>
      </c>
    </row>
    <row r="306" spans="1:32"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R306">
        <v>167.9</v>
      </c>
      <c r="S306">
        <v>195.5</v>
      </c>
      <c r="T306">
        <v>157.9</v>
      </c>
      <c r="U306">
        <v>141.9</v>
      </c>
      <c r="V306">
        <v>155.5</v>
      </c>
      <c r="W306">
        <v>161.5</v>
      </c>
      <c r="X306">
        <v>157.69999999999999</v>
      </c>
      <c r="Y306">
        <v>150.69999999999999</v>
      </c>
      <c r="Z306">
        <v>161.5</v>
      </c>
      <c r="AA306">
        <v>149.5</v>
      </c>
      <c r="AB306">
        <v>151.19999999999999</v>
      </c>
      <c r="AC306">
        <v>160.30000000000001</v>
      </c>
      <c r="AD306">
        <v>159.6</v>
      </c>
      <c r="AE306">
        <v>155</v>
      </c>
      <c r="AF306">
        <v>161.80000000000001</v>
      </c>
    </row>
    <row r="307" spans="1:32" hidden="1" x14ac:dyDescent="0.3">
      <c r="A307" t="s">
        <v>34</v>
      </c>
      <c r="B307">
        <v>2021</v>
      </c>
      <c r="C307" t="s">
        <v>40</v>
      </c>
      <c r="D307">
        <v>146.4</v>
      </c>
      <c r="E307">
        <v>206.8</v>
      </c>
      <c r="F307">
        <v>182.2</v>
      </c>
      <c r="G307">
        <v>157.5</v>
      </c>
      <c r="H307">
        <v>182.1</v>
      </c>
      <c r="I307">
        <v>163.9</v>
      </c>
      <c r="J307">
        <v>164.2</v>
      </c>
      <c r="K307">
        <v>164</v>
      </c>
      <c r="L307">
        <v>114.5</v>
      </c>
      <c r="M307">
        <v>168.3</v>
      </c>
      <c r="N307">
        <v>160.9</v>
      </c>
      <c r="O307">
        <v>172.2</v>
      </c>
      <c r="R307">
        <v>164</v>
      </c>
      <c r="S307">
        <v>191.2</v>
      </c>
      <c r="T307">
        <v>162.80000000000001</v>
      </c>
      <c r="U307">
        <v>153.1</v>
      </c>
      <c r="V307">
        <v>161.4</v>
      </c>
      <c r="W307">
        <v>161.5</v>
      </c>
      <c r="X307">
        <v>160.69999999999999</v>
      </c>
      <c r="Y307">
        <v>155.80000000000001</v>
      </c>
      <c r="Z307">
        <v>167</v>
      </c>
      <c r="AA307">
        <v>153.1</v>
      </c>
      <c r="AB307">
        <v>155.30000000000001</v>
      </c>
      <c r="AC307">
        <v>163.19999999999999</v>
      </c>
      <c r="AD307">
        <v>160.1</v>
      </c>
      <c r="AE307">
        <v>159</v>
      </c>
      <c r="AF307">
        <v>162.5</v>
      </c>
    </row>
    <row r="308" spans="1:32"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R308">
        <v>161.80000000000001</v>
      </c>
      <c r="S308">
        <v>190.2</v>
      </c>
      <c r="T308">
        <v>167</v>
      </c>
      <c r="U308">
        <v>162.6</v>
      </c>
      <c r="V308">
        <v>166.3</v>
      </c>
      <c r="W308" t="s">
        <v>32</v>
      </c>
      <c r="X308">
        <v>163.1</v>
      </c>
      <c r="Y308">
        <v>160.9</v>
      </c>
      <c r="Z308">
        <v>171.1</v>
      </c>
      <c r="AA308">
        <v>157.69999999999999</v>
      </c>
      <c r="AB308">
        <v>161.1</v>
      </c>
      <c r="AC308">
        <v>167.5</v>
      </c>
      <c r="AD308">
        <v>160.30000000000001</v>
      </c>
      <c r="AE308">
        <v>163.30000000000001</v>
      </c>
      <c r="AF308">
        <v>163.6</v>
      </c>
    </row>
    <row r="309" spans="1:32"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R309">
        <v>167.3</v>
      </c>
      <c r="S309">
        <v>196.5</v>
      </c>
      <c r="T309">
        <v>159.80000000000001</v>
      </c>
      <c r="U309">
        <v>143.6</v>
      </c>
      <c r="V309">
        <v>157.30000000000001</v>
      </c>
      <c r="W309">
        <v>162.1</v>
      </c>
      <c r="X309">
        <v>160.69999999999999</v>
      </c>
      <c r="Y309">
        <v>153.19999999999999</v>
      </c>
      <c r="Z309">
        <v>162.80000000000001</v>
      </c>
      <c r="AA309">
        <v>150.4</v>
      </c>
      <c r="AB309">
        <v>153.69999999999999</v>
      </c>
      <c r="AC309">
        <v>160.4</v>
      </c>
      <c r="AD309">
        <v>159.6</v>
      </c>
      <c r="AE309">
        <v>156</v>
      </c>
      <c r="AF309">
        <v>162.30000000000001</v>
      </c>
    </row>
    <row r="310" spans="1:32" hidden="1"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R310">
        <v>164</v>
      </c>
      <c r="S310">
        <v>192.1</v>
      </c>
      <c r="T310">
        <v>164.5</v>
      </c>
      <c r="U310">
        <v>155.30000000000001</v>
      </c>
      <c r="V310">
        <v>163.19999999999999</v>
      </c>
      <c r="W310">
        <v>162.1</v>
      </c>
      <c r="X310">
        <v>162.6</v>
      </c>
      <c r="Y310">
        <v>157.5</v>
      </c>
      <c r="Z310">
        <v>168.4</v>
      </c>
      <c r="AA310">
        <v>154</v>
      </c>
      <c r="AB310">
        <v>157.6</v>
      </c>
      <c r="AC310">
        <v>163.80000000000001</v>
      </c>
      <c r="AD310">
        <v>160</v>
      </c>
      <c r="AE310">
        <v>160</v>
      </c>
      <c r="AF310">
        <v>163.19999999999999</v>
      </c>
    </row>
    <row r="311" spans="1:32"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R311">
        <v>162.1</v>
      </c>
      <c r="S311">
        <v>190.5</v>
      </c>
      <c r="T311">
        <v>167.7</v>
      </c>
      <c r="U311">
        <v>163.6</v>
      </c>
      <c r="V311">
        <v>167.1</v>
      </c>
      <c r="W311" t="s">
        <v>32</v>
      </c>
      <c r="X311">
        <v>163.69999999999999</v>
      </c>
      <c r="Y311">
        <v>161.30000000000001</v>
      </c>
      <c r="Z311">
        <v>171.9</v>
      </c>
      <c r="AA311">
        <v>157.80000000000001</v>
      </c>
      <c r="AB311">
        <v>162.69999999999999</v>
      </c>
      <c r="AC311">
        <v>168.5</v>
      </c>
      <c r="AD311">
        <v>160.19999999999999</v>
      </c>
      <c r="AE311">
        <v>163.80000000000001</v>
      </c>
      <c r="AF311">
        <v>164</v>
      </c>
    </row>
    <row r="312" spans="1:32"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R312">
        <v>167.3</v>
      </c>
      <c r="S312">
        <v>196.5</v>
      </c>
      <c r="T312">
        <v>159.80000000000001</v>
      </c>
      <c r="U312">
        <v>143.6</v>
      </c>
      <c r="V312">
        <v>157.4</v>
      </c>
      <c r="W312">
        <v>162.1</v>
      </c>
      <c r="X312">
        <v>160.80000000000001</v>
      </c>
      <c r="Y312">
        <v>153.30000000000001</v>
      </c>
      <c r="Z312">
        <v>162.80000000000001</v>
      </c>
      <c r="AA312">
        <v>150.5</v>
      </c>
      <c r="AB312">
        <v>153.9</v>
      </c>
      <c r="AC312">
        <v>160.30000000000001</v>
      </c>
      <c r="AD312">
        <v>159.6</v>
      </c>
      <c r="AE312">
        <v>156</v>
      </c>
      <c r="AF312">
        <v>162.30000000000001</v>
      </c>
    </row>
    <row r="313" spans="1:32" hidden="1"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R313">
        <v>164</v>
      </c>
      <c r="S313">
        <v>192.1</v>
      </c>
      <c r="T313">
        <v>164.6</v>
      </c>
      <c r="U313">
        <v>155.30000000000001</v>
      </c>
      <c r="V313">
        <v>163.30000000000001</v>
      </c>
      <c r="W313">
        <v>162.1</v>
      </c>
      <c r="X313">
        <v>162.6</v>
      </c>
      <c r="Y313">
        <v>157.5</v>
      </c>
      <c r="Z313">
        <v>168.4</v>
      </c>
      <c r="AA313">
        <v>154</v>
      </c>
      <c r="AB313">
        <v>157.69999999999999</v>
      </c>
      <c r="AC313">
        <v>163.69999999999999</v>
      </c>
      <c r="AD313">
        <v>160</v>
      </c>
      <c r="AE313">
        <v>160</v>
      </c>
      <c r="AF313">
        <v>163.19999999999999</v>
      </c>
    </row>
    <row r="314" spans="1:32"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R314">
        <v>165.5</v>
      </c>
      <c r="S314">
        <v>191.2</v>
      </c>
      <c r="T314">
        <v>168.9</v>
      </c>
      <c r="U314">
        <v>164.8</v>
      </c>
      <c r="V314">
        <v>168.3</v>
      </c>
      <c r="W314" t="s">
        <v>32</v>
      </c>
      <c r="X314">
        <v>165.5</v>
      </c>
      <c r="Y314">
        <v>162</v>
      </c>
      <c r="Z314">
        <v>172.5</v>
      </c>
      <c r="AA314">
        <v>159.5</v>
      </c>
      <c r="AB314">
        <v>163.19999999999999</v>
      </c>
      <c r="AC314">
        <v>169</v>
      </c>
      <c r="AD314">
        <v>161.1</v>
      </c>
      <c r="AE314">
        <v>164.7</v>
      </c>
      <c r="AF314">
        <v>166.3</v>
      </c>
    </row>
    <row r="315" spans="1:32"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R315">
        <v>171.5</v>
      </c>
      <c r="S315">
        <v>197</v>
      </c>
      <c r="T315">
        <v>160.80000000000001</v>
      </c>
      <c r="U315">
        <v>144.4</v>
      </c>
      <c r="V315">
        <v>158.30000000000001</v>
      </c>
      <c r="W315">
        <v>163.6</v>
      </c>
      <c r="X315">
        <v>162.19999999999999</v>
      </c>
      <c r="Y315">
        <v>154.30000000000001</v>
      </c>
      <c r="Z315">
        <v>163.5</v>
      </c>
      <c r="AA315">
        <v>152.19999999999999</v>
      </c>
      <c r="AB315">
        <v>155.1</v>
      </c>
      <c r="AC315">
        <v>160.30000000000001</v>
      </c>
      <c r="AD315">
        <v>160.30000000000001</v>
      </c>
      <c r="AE315">
        <v>157</v>
      </c>
      <c r="AF315">
        <v>164.6</v>
      </c>
    </row>
    <row r="316" spans="1:32" hidden="1"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R316">
        <v>167.7</v>
      </c>
      <c r="S316">
        <v>192.7</v>
      </c>
      <c r="T316">
        <v>165.7</v>
      </c>
      <c r="U316">
        <v>156.30000000000001</v>
      </c>
      <c r="V316">
        <v>164.3</v>
      </c>
      <c r="W316">
        <v>163.6</v>
      </c>
      <c r="X316">
        <v>164.2</v>
      </c>
      <c r="Y316">
        <v>158.4</v>
      </c>
      <c r="Z316">
        <v>169.1</v>
      </c>
      <c r="AA316">
        <v>155.69999999999999</v>
      </c>
      <c r="AB316">
        <v>158.6</v>
      </c>
      <c r="AC316">
        <v>163.9</v>
      </c>
      <c r="AD316">
        <v>160.80000000000001</v>
      </c>
      <c r="AE316">
        <v>161</v>
      </c>
      <c r="AF316">
        <v>165.5</v>
      </c>
    </row>
    <row r="317" spans="1:32"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R317">
        <v>167.5</v>
      </c>
      <c r="S317">
        <v>191.4</v>
      </c>
      <c r="T317">
        <v>170.4</v>
      </c>
      <c r="U317">
        <v>166</v>
      </c>
      <c r="V317">
        <v>169.8</v>
      </c>
      <c r="W317" t="s">
        <v>32</v>
      </c>
      <c r="X317">
        <v>165.3</v>
      </c>
      <c r="Y317">
        <v>162.9</v>
      </c>
      <c r="Z317">
        <v>173.4</v>
      </c>
      <c r="AA317">
        <v>158.9</v>
      </c>
      <c r="AB317">
        <v>163.80000000000001</v>
      </c>
      <c r="AC317">
        <v>169.3</v>
      </c>
      <c r="AD317">
        <v>162.4</v>
      </c>
      <c r="AE317">
        <v>165.2</v>
      </c>
      <c r="AF317">
        <v>167.6</v>
      </c>
    </row>
    <row r="318" spans="1:32"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R318">
        <v>173.5</v>
      </c>
      <c r="S318">
        <v>197</v>
      </c>
      <c r="T318">
        <v>162.30000000000001</v>
      </c>
      <c r="U318">
        <v>145.30000000000001</v>
      </c>
      <c r="V318">
        <v>159.69999999999999</v>
      </c>
      <c r="W318">
        <v>164.2</v>
      </c>
      <c r="X318">
        <v>161.6</v>
      </c>
      <c r="Y318">
        <v>155.19999999999999</v>
      </c>
      <c r="Z318">
        <v>164.2</v>
      </c>
      <c r="AA318">
        <v>151.19999999999999</v>
      </c>
      <c r="AB318">
        <v>156.69999999999999</v>
      </c>
      <c r="AC318">
        <v>160.80000000000001</v>
      </c>
      <c r="AD318">
        <v>161.80000000000001</v>
      </c>
      <c r="AE318">
        <v>157.30000000000001</v>
      </c>
      <c r="AF318">
        <v>165.6</v>
      </c>
    </row>
    <row r="319" spans="1:32" hidden="1"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R319">
        <v>169.7</v>
      </c>
      <c r="S319">
        <v>192.9</v>
      </c>
      <c r="T319">
        <v>167.2</v>
      </c>
      <c r="U319">
        <v>157.4</v>
      </c>
      <c r="V319">
        <v>165.8</v>
      </c>
      <c r="W319">
        <v>164.2</v>
      </c>
      <c r="X319">
        <v>163.9</v>
      </c>
      <c r="Y319">
        <v>159.30000000000001</v>
      </c>
      <c r="Z319">
        <v>169.9</v>
      </c>
      <c r="AA319">
        <v>154.80000000000001</v>
      </c>
      <c r="AB319">
        <v>159.80000000000001</v>
      </c>
      <c r="AC319">
        <v>164.3</v>
      </c>
      <c r="AD319">
        <v>162.19999999999999</v>
      </c>
      <c r="AE319">
        <v>161.4</v>
      </c>
      <c r="AF319">
        <v>166.7</v>
      </c>
    </row>
    <row r="320" spans="1:32"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R320">
        <v>165.8</v>
      </c>
      <c r="S320">
        <v>190.8</v>
      </c>
      <c r="T320">
        <v>171.8</v>
      </c>
      <c r="U320">
        <v>167.3</v>
      </c>
      <c r="V320">
        <v>171.2</v>
      </c>
      <c r="W320" t="s">
        <v>32</v>
      </c>
      <c r="X320">
        <v>165.6</v>
      </c>
      <c r="Y320">
        <v>163.9</v>
      </c>
      <c r="Z320">
        <v>174</v>
      </c>
      <c r="AA320">
        <v>160.1</v>
      </c>
      <c r="AB320">
        <v>164.5</v>
      </c>
      <c r="AC320">
        <v>169.7</v>
      </c>
      <c r="AD320">
        <v>162.80000000000001</v>
      </c>
      <c r="AE320">
        <v>166</v>
      </c>
      <c r="AF320">
        <v>167</v>
      </c>
    </row>
    <row r="321" spans="1:32"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R321">
        <v>172.2</v>
      </c>
      <c r="S321">
        <v>196.8</v>
      </c>
      <c r="T321">
        <v>163.30000000000001</v>
      </c>
      <c r="U321">
        <v>146.69999999999999</v>
      </c>
      <c r="V321">
        <v>160.69999999999999</v>
      </c>
      <c r="W321">
        <v>163.4</v>
      </c>
      <c r="X321">
        <v>161.69999999999999</v>
      </c>
      <c r="Y321">
        <v>156</v>
      </c>
      <c r="Z321">
        <v>165.1</v>
      </c>
      <c r="AA321">
        <v>151.80000000000001</v>
      </c>
      <c r="AB321">
        <v>157.6</v>
      </c>
      <c r="AC321">
        <v>160.6</v>
      </c>
      <c r="AD321">
        <v>162.4</v>
      </c>
      <c r="AE321">
        <v>157.80000000000001</v>
      </c>
      <c r="AF321">
        <v>165.2</v>
      </c>
    </row>
    <row r="322" spans="1:32" hidden="1"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R322">
        <v>168.2</v>
      </c>
      <c r="S322">
        <v>192.4</v>
      </c>
      <c r="T322">
        <v>168.5</v>
      </c>
      <c r="U322">
        <v>158.69999999999999</v>
      </c>
      <c r="V322">
        <v>167</v>
      </c>
      <c r="W322">
        <v>163.4</v>
      </c>
      <c r="X322">
        <v>164.1</v>
      </c>
      <c r="Y322">
        <v>160.19999999999999</v>
      </c>
      <c r="Z322">
        <v>170.6</v>
      </c>
      <c r="AA322">
        <v>155.69999999999999</v>
      </c>
      <c r="AB322">
        <v>160.6</v>
      </c>
      <c r="AC322">
        <v>164.4</v>
      </c>
      <c r="AD322">
        <v>162.6</v>
      </c>
      <c r="AE322">
        <v>162</v>
      </c>
      <c r="AF322">
        <v>166.2</v>
      </c>
    </row>
    <row r="323" spans="1:32"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R323">
        <v>164.1</v>
      </c>
      <c r="S323">
        <v>190.7</v>
      </c>
      <c r="T323">
        <v>173.2</v>
      </c>
      <c r="U323">
        <v>169.3</v>
      </c>
      <c r="V323">
        <v>172.7</v>
      </c>
      <c r="W323" t="s">
        <v>32</v>
      </c>
      <c r="X323">
        <v>165.8</v>
      </c>
      <c r="Y323">
        <v>164.9</v>
      </c>
      <c r="Z323">
        <v>174.7</v>
      </c>
      <c r="AA323">
        <v>160.80000000000001</v>
      </c>
      <c r="AB323">
        <v>164.9</v>
      </c>
      <c r="AC323">
        <v>169.9</v>
      </c>
      <c r="AD323">
        <v>163.19999999999999</v>
      </c>
      <c r="AE323">
        <v>166.6</v>
      </c>
      <c r="AF323">
        <v>166.4</v>
      </c>
    </row>
    <row r="324" spans="1:32"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R324">
        <v>170.3</v>
      </c>
      <c r="S324">
        <v>196.4</v>
      </c>
      <c r="T324">
        <v>164.7</v>
      </c>
      <c r="U324">
        <v>148.5</v>
      </c>
      <c r="V324">
        <v>162.19999999999999</v>
      </c>
      <c r="W324">
        <v>164.5</v>
      </c>
      <c r="X324">
        <v>161.6</v>
      </c>
      <c r="Y324">
        <v>156.80000000000001</v>
      </c>
      <c r="Z324">
        <v>166.1</v>
      </c>
      <c r="AA324">
        <v>152.69999999999999</v>
      </c>
      <c r="AB324">
        <v>158.4</v>
      </c>
      <c r="AC324">
        <v>161</v>
      </c>
      <c r="AD324">
        <v>162.80000000000001</v>
      </c>
      <c r="AE324">
        <v>158.6</v>
      </c>
      <c r="AF324">
        <v>165</v>
      </c>
    </row>
    <row r="325" spans="1:32" hidden="1"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R325">
        <v>166.4</v>
      </c>
      <c r="S325">
        <v>192.2</v>
      </c>
      <c r="T325">
        <v>169.9</v>
      </c>
      <c r="U325">
        <v>160.69999999999999</v>
      </c>
      <c r="V325">
        <v>168.5</v>
      </c>
      <c r="W325">
        <v>164.5</v>
      </c>
      <c r="X325">
        <v>164.2</v>
      </c>
      <c r="Y325">
        <v>161.1</v>
      </c>
      <c r="Z325">
        <v>171.4</v>
      </c>
      <c r="AA325">
        <v>156.5</v>
      </c>
      <c r="AB325">
        <v>161.19999999999999</v>
      </c>
      <c r="AC325">
        <v>164.7</v>
      </c>
      <c r="AD325">
        <v>163</v>
      </c>
      <c r="AE325">
        <v>162.69999999999999</v>
      </c>
      <c r="AF325">
        <v>165.7</v>
      </c>
    </row>
    <row r="326" spans="1:32"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R326">
        <v>163.9</v>
      </c>
      <c r="S326">
        <v>191.5</v>
      </c>
      <c r="T326">
        <v>174.1</v>
      </c>
      <c r="U326">
        <v>171</v>
      </c>
      <c r="V326">
        <v>173.7</v>
      </c>
      <c r="W326" t="s">
        <v>32</v>
      </c>
      <c r="X326">
        <v>167.4</v>
      </c>
      <c r="Y326">
        <v>165.7</v>
      </c>
      <c r="Z326">
        <v>175.3</v>
      </c>
      <c r="AA326">
        <v>161.19999999999999</v>
      </c>
      <c r="AB326">
        <v>165.5</v>
      </c>
      <c r="AC326">
        <v>170.3</v>
      </c>
      <c r="AD326">
        <v>164.5</v>
      </c>
      <c r="AE326">
        <v>167.3</v>
      </c>
      <c r="AF326">
        <v>166.7</v>
      </c>
    </row>
    <row r="327" spans="1:32"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R327">
        <v>170.2</v>
      </c>
      <c r="S327">
        <v>196.5</v>
      </c>
      <c r="T327">
        <v>165.7</v>
      </c>
      <c r="U327">
        <v>150.4</v>
      </c>
      <c r="V327">
        <v>163.4</v>
      </c>
      <c r="W327">
        <v>165.5</v>
      </c>
      <c r="X327">
        <v>163</v>
      </c>
      <c r="Y327">
        <v>157.4</v>
      </c>
      <c r="Z327">
        <v>167.2</v>
      </c>
      <c r="AA327">
        <v>153.1</v>
      </c>
      <c r="AB327">
        <v>159.5</v>
      </c>
      <c r="AC327">
        <v>162</v>
      </c>
      <c r="AD327">
        <v>164.2</v>
      </c>
      <c r="AE327">
        <v>159.4</v>
      </c>
      <c r="AF327">
        <v>165.5</v>
      </c>
    </row>
    <row r="328" spans="1:32" hidden="1"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R328">
        <v>166.2</v>
      </c>
      <c r="S328">
        <v>192.8</v>
      </c>
      <c r="T328">
        <v>170.8</v>
      </c>
      <c r="U328">
        <v>162.4</v>
      </c>
      <c r="V328">
        <v>169.6</v>
      </c>
      <c r="W328">
        <v>165.5</v>
      </c>
      <c r="X328">
        <v>165.7</v>
      </c>
      <c r="Y328">
        <v>161.80000000000001</v>
      </c>
      <c r="Z328">
        <v>172.2</v>
      </c>
      <c r="AA328">
        <v>156.9</v>
      </c>
      <c r="AB328">
        <v>162.1</v>
      </c>
      <c r="AC328">
        <v>165.4</v>
      </c>
      <c r="AD328">
        <v>164.4</v>
      </c>
      <c r="AE328">
        <v>163.5</v>
      </c>
      <c r="AF328">
        <v>166.1</v>
      </c>
    </row>
    <row r="329" spans="1:32"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R329">
        <v>166.6</v>
      </c>
      <c r="S329">
        <v>192.3</v>
      </c>
      <c r="T329">
        <v>175.4</v>
      </c>
      <c r="U329">
        <v>173.2</v>
      </c>
      <c r="V329">
        <v>175.1</v>
      </c>
      <c r="W329" t="s">
        <v>32</v>
      </c>
      <c r="X329">
        <v>168.9</v>
      </c>
      <c r="Y329">
        <v>166.5</v>
      </c>
      <c r="Z329">
        <v>176</v>
      </c>
      <c r="AA329">
        <v>162</v>
      </c>
      <c r="AB329">
        <v>166.6</v>
      </c>
      <c r="AC329">
        <v>170.6</v>
      </c>
      <c r="AD329">
        <v>167.4</v>
      </c>
      <c r="AE329">
        <v>168.3</v>
      </c>
      <c r="AF329">
        <v>168.7</v>
      </c>
    </row>
    <row r="330" spans="1:32"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R330">
        <v>171.5</v>
      </c>
      <c r="S330">
        <v>197.5</v>
      </c>
      <c r="T330">
        <v>167.1</v>
      </c>
      <c r="U330">
        <v>152.6</v>
      </c>
      <c r="V330">
        <v>164.9</v>
      </c>
      <c r="W330">
        <v>165.3</v>
      </c>
      <c r="X330">
        <v>164.5</v>
      </c>
      <c r="Y330">
        <v>158.6</v>
      </c>
      <c r="Z330">
        <v>168.2</v>
      </c>
      <c r="AA330">
        <v>154.19999999999999</v>
      </c>
      <c r="AB330">
        <v>160.80000000000001</v>
      </c>
      <c r="AC330">
        <v>162.69999999999999</v>
      </c>
      <c r="AD330">
        <v>166.8</v>
      </c>
      <c r="AE330">
        <v>160.6</v>
      </c>
      <c r="AF330">
        <v>166.5</v>
      </c>
    </row>
    <row r="331" spans="1:32" hidden="1"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R331">
        <v>168.4</v>
      </c>
      <c r="S331">
        <v>193.7</v>
      </c>
      <c r="T331">
        <v>172.1</v>
      </c>
      <c r="U331">
        <v>164.6</v>
      </c>
      <c r="V331">
        <v>171.1</v>
      </c>
      <c r="W331">
        <v>165.3</v>
      </c>
      <c r="X331">
        <v>167.2</v>
      </c>
      <c r="Y331">
        <v>162.80000000000001</v>
      </c>
      <c r="Z331">
        <v>173</v>
      </c>
      <c r="AA331">
        <v>157.9</v>
      </c>
      <c r="AB331">
        <v>163.30000000000001</v>
      </c>
      <c r="AC331">
        <v>166</v>
      </c>
      <c r="AD331">
        <v>167.2</v>
      </c>
      <c r="AE331">
        <v>164.6</v>
      </c>
      <c r="AF331">
        <v>167.7</v>
      </c>
    </row>
    <row r="332" spans="1:32"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R332">
        <v>168.6</v>
      </c>
      <c r="S332">
        <v>192.8</v>
      </c>
      <c r="T332">
        <v>177.5</v>
      </c>
      <c r="U332">
        <v>175.1</v>
      </c>
      <c r="V332">
        <v>177.1</v>
      </c>
      <c r="W332" t="s">
        <v>32</v>
      </c>
      <c r="X332">
        <v>173.3</v>
      </c>
      <c r="Y332">
        <v>167.7</v>
      </c>
      <c r="Z332">
        <v>177</v>
      </c>
      <c r="AA332">
        <v>166.2</v>
      </c>
      <c r="AB332">
        <v>167.2</v>
      </c>
      <c r="AC332">
        <v>170.9</v>
      </c>
      <c r="AD332">
        <v>169</v>
      </c>
      <c r="AE332">
        <v>170.2</v>
      </c>
      <c r="AF332">
        <v>170.8</v>
      </c>
    </row>
    <row r="333" spans="1:32"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R333">
        <v>174.5</v>
      </c>
      <c r="S333">
        <v>197.1</v>
      </c>
      <c r="T333">
        <v>168.4</v>
      </c>
      <c r="U333">
        <v>154.5</v>
      </c>
      <c r="V333">
        <v>166.3</v>
      </c>
      <c r="W333">
        <v>167</v>
      </c>
      <c r="X333">
        <v>170.5</v>
      </c>
      <c r="Y333">
        <v>159.80000000000001</v>
      </c>
      <c r="Z333">
        <v>169</v>
      </c>
      <c r="AA333">
        <v>159.30000000000001</v>
      </c>
      <c r="AB333">
        <v>162.19999999999999</v>
      </c>
      <c r="AC333">
        <v>164</v>
      </c>
      <c r="AD333">
        <v>168.4</v>
      </c>
      <c r="AE333">
        <v>163.1</v>
      </c>
      <c r="AF333">
        <v>169.2</v>
      </c>
    </row>
    <row r="334" spans="1:32" hidden="1" x14ac:dyDescent="0.3">
      <c r="A334" t="s">
        <v>34</v>
      </c>
      <c r="B334">
        <v>2022</v>
      </c>
      <c r="C334" t="s">
        <v>37</v>
      </c>
      <c r="D334">
        <v>152.9</v>
      </c>
      <c r="E334">
        <v>211.8</v>
      </c>
      <c r="F334">
        <v>164.5</v>
      </c>
      <c r="G334">
        <v>163.9</v>
      </c>
      <c r="H334">
        <v>199.5</v>
      </c>
      <c r="I334">
        <v>172.6</v>
      </c>
      <c r="J334">
        <v>166.2</v>
      </c>
      <c r="K334">
        <v>164.7</v>
      </c>
      <c r="L334">
        <v>119</v>
      </c>
      <c r="M334">
        <v>181.3</v>
      </c>
      <c r="N334">
        <v>166.2</v>
      </c>
      <c r="O334">
        <v>180.9</v>
      </c>
      <c r="R334">
        <v>170.8</v>
      </c>
      <c r="S334">
        <v>193.9</v>
      </c>
      <c r="T334">
        <v>173.9</v>
      </c>
      <c r="U334">
        <v>166.5</v>
      </c>
      <c r="V334">
        <v>172.8</v>
      </c>
      <c r="W334">
        <v>167</v>
      </c>
      <c r="X334">
        <v>172.2</v>
      </c>
      <c r="Y334">
        <v>164</v>
      </c>
      <c r="Z334">
        <v>174</v>
      </c>
      <c r="AA334">
        <v>162.6</v>
      </c>
      <c r="AB334">
        <v>164.4</v>
      </c>
      <c r="AC334">
        <v>166.9</v>
      </c>
      <c r="AD334">
        <v>168.8</v>
      </c>
      <c r="AE334">
        <v>166.8</v>
      </c>
      <c r="AF334">
        <v>170.1</v>
      </c>
    </row>
    <row r="335" spans="1:32"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R335">
        <v>170.8</v>
      </c>
      <c r="S335">
        <v>192.9</v>
      </c>
      <c r="T335">
        <v>179.3</v>
      </c>
      <c r="U335">
        <v>177.2</v>
      </c>
      <c r="V335">
        <v>179</v>
      </c>
      <c r="W335" t="s">
        <v>32</v>
      </c>
      <c r="X335">
        <v>175.3</v>
      </c>
      <c r="Y335">
        <v>168.9</v>
      </c>
      <c r="Z335">
        <v>177.7</v>
      </c>
      <c r="AA335">
        <v>167.1</v>
      </c>
      <c r="AB335">
        <v>167.6</v>
      </c>
      <c r="AC335">
        <v>171.8</v>
      </c>
      <c r="AD335">
        <v>168.5</v>
      </c>
      <c r="AE335">
        <v>170.9</v>
      </c>
      <c r="AF335">
        <v>172.5</v>
      </c>
    </row>
    <row r="336" spans="1:32"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R336">
        <v>177.5</v>
      </c>
      <c r="S336">
        <v>197.5</v>
      </c>
      <c r="T336">
        <v>170</v>
      </c>
      <c r="U336">
        <v>155.9</v>
      </c>
      <c r="V336">
        <v>167.8</v>
      </c>
      <c r="W336">
        <v>167.5</v>
      </c>
      <c r="X336">
        <v>173.5</v>
      </c>
      <c r="Y336">
        <v>161.1</v>
      </c>
      <c r="Z336">
        <v>170.1</v>
      </c>
      <c r="AA336">
        <v>159.4</v>
      </c>
      <c r="AB336">
        <v>163.19999999999999</v>
      </c>
      <c r="AC336">
        <v>165.2</v>
      </c>
      <c r="AD336">
        <v>168.2</v>
      </c>
      <c r="AE336">
        <v>163.80000000000001</v>
      </c>
      <c r="AF336">
        <v>170.8</v>
      </c>
    </row>
    <row r="337" spans="1:32"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t="str">
        <f>_xlfn.CONCAT(C337," ",B337)</f>
        <v>May 2022</v>
      </c>
      <c r="Q337" t="str">
        <f>TEXT(P337,"mmm-yyyy")</f>
        <v>May-2022</v>
      </c>
      <c r="R337">
        <v>173.3</v>
      </c>
      <c r="S337">
        <v>194.1</v>
      </c>
      <c r="T337">
        <v>175.6</v>
      </c>
      <c r="U337">
        <v>168.4</v>
      </c>
      <c r="V337">
        <v>174.6</v>
      </c>
      <c r="W337">
        <v>167.5</v>
      </c>
      <c r="X337">
        <v>174.6</v>
      </c>
      <c r="Y337">
        <v>165.2</v>
      </c>
      <c r="Z337">
        <v>174.8</v>
      </c>
      <c r="AA337">
        <v>163</v>
      </c>
      <c r="AB337">
        <v>165.1</v>
      </c>
      <c r="AC337">
        <v>167.9</v>
      </c>
      <c r="AD337">
        <v>168.4</v>
      </c>
      <c r="AE337">
        <v>167.5</v>
      </c>
      <c r="AF337">
        <v>171.7</v>
      </c>
    </row>
    <row r="338" spans="1:32"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R338">
        <v>172.4</v>
      </c>
      <c r="S338">
        <v>192.9</v>
      </c>
      <c r="T338">
        <v>180.7</v>
      </c>
      <c r="U338">
        <v>178.7</v>
      </c>
      <c r="V338">
        <v>180.4</v>
      </c>
      <c r="W338" t="s">
        <v>32</v>
      </c>
      <c r="X338">
        <v>176.7</v>
      </c>
      <c r="Y338">
        <v>170.3</v>
      </c>
      <c r="Z338">
        <v>178.2</v>
      </c>
      <c r="AA338">
        <v>165.5</v>
      </c>
      <c r="AB338">
        <v>168</v>
      </c>
      <c r="AC338">
        <v>172.6</v>
      </c>
      <c r="AD338">
        <v>169.5</v>
      </c>
      <c r="AE338">
        <v>171</v>
      </c>
      <c r="AF338">
        <v>173.6</v>
      </c>
    </row>
    <row r="339" spans="1:32"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R339">
        <v>179.3</v>
      </c>
      <c r="S339">
        <v>198.3</v>
      </c>
      <c r="T339">
        <v>171.6</v>
      </c>
      <c r="U339">
        <v>157.4</v>
      </c>
      <c r="V339">
        <v>169.4</v>
      </c>
      <c r="W339">
        <v>166.8</v>
      </c>
      <c r="X339">
        <v>174.9</v>
      </c>
      <c r="Y339">
        <v>162.1</v>
      </c>
      <c r="Z339">
        <v>170.9</v>
      </c>
      <c r="AA339">
        <v>157.19999999999999</v>
      </c>
      <c r="AB339">
        <v>164.1</v>
      </c>
      <c r="AC339">
        <v>166.5</v>
      </c>
      <c r="AD339">
        <v>169.2</v>
      </c>
      <c r="AE339">
        <v>163.80000000000001</v>
      </c>
      <c r="AF339">
        <v>171.4</v>
      </c>
    </row>
    <row r="340" spans="1:32"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t="str">
        <f>_xlfn.CONCAT(C340," ",B340)</f>
        <v>June 2022</v>
      </c>
      <c r="Q340" t="str">
        <f>TEXT(P340,"mmm-yyyy")</f>
        <v>Jun-2022</v>
      </c>
      <c r="R340">
        <v>174.9</v>
      </c>
      <c r="S340">
        <v>194.3</v>
      </c>
      <c r="T340">
        <v>177.1</v>
      </c>
      <c r="U340">
        <v>169.9</v>
      </c>
      <c r="V340">
        <v>176</v>
      </c>
      <c r="W340">
        <v>166.8</v>
      </c>
      <c r="X340">
        <v>176</v>
      </c>
      <c r="Y340">
        <v>166.4</v>
      </c>
      <c r="Z340">
        <v>175.4</v>
      </c>
      <c r="AA340">
        <v>161.1</v>
      </c>
      <c r="AB340">
        <v>165.8</v>
      </c>
      <c r="AC340">
        <v>169</v>
      </c>
      <c r="AD340">
        <v>169.4</v>
      </c>
      <c r="AE340">
        <v>167.5</v>
      </c>
      <c r="AF340">
        <v>172.6</v>
      </c>
    </row>
    <row r="341" spans="1:32"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R341">
        <v>172.5</v>
      </c>
      <c r="S341">
        <v>193.2</v>
      </c>
      <c r="T341">
        <v>182</v>
      </c>
      <c r="U341">
        <v>180.3</v>
      </c>
      <c r="V341">
        <v>181.7</v>
      </c>
      <c r="W341" t="s">
        <v>32</v>
      </c>
      <c r="X341">
        <v>179.6</v>
      </c>
      <c r="Y341">
        <v>171.3</v>
      </c>
      <c r="Z341">
        <v>178.8</v>
      </c>
      <c r="AA341">
        <v>166.3</v>
      </c>
      <c r="AB341">
        <v>168.6</v>
      </c>
      <c r="AC341">
        <v>174.7</v>
      </c>
      <c r="AD341">
        <v>169.7</v>
      </c>
      <c r="AE341">
        <v>171.8</v>
      </c>
      <c r="AF341">
        <v>174.3</v>
      </c>
    </row>
    <row r="342" spans="1:32"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R342">
        <v>179.4</v>
      </c>
      <c r="S342">
        <v>198.6</v>
      </c>
      <c r="T342">
        <v>172.7</v>
      </c>
      <c r="U342">
        <v>158.69999999999999</v>
      </c>
      <c r="V342">
        <v>170.6</v>
      </c>
      <c r="W342">
        <v>167.8</v>
      </c>
      <c r="X342">
        <v>179.5</v>
      </c>
      <c r="Y342">
        <v>163.1</v>
      </c>
      <c r="Z342">
        <v>171.7</v>
      </c>
      <c r="AA342">
        <v>157.4</v>
      </c>
      <c r="AB342">
        <v>164.6</v>
      </c>
      <c r="AC342">
        <v>169.1</v>
      </c>
      <c r="AD342">
        <v>169.8</v>
      </c>
      <c r="AE342">
        <v>164.7</v>
      </c>
      <c r="AF342">
        <v>172.3</v>
      </c>
    </row>
    <row r="343" spans="1:32"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t="str">
        <f>_xlfn.CONCAT(C343," ",B343)</f>
        <v>July 2022</v>
      </c>
      <c r="Q343" t="str">
        <f>TEXT(P343,"mmm-yyyy")</f>
        <v>Jul-2022</v>
      </c>
      <c r="R343">
        <v>175</v>
      </c>
      <c r="S343">
        <v>194.6</v>
      </c>
      <c r="T343">
        <v>178.3</v>
      </c>
      <c r="U343">
        <v>171.3</v>
      </c>
      <c r="V343">
        <v>177.3</v>
      </c>
      <c r="W343">
        <v>167.8</v>
      </c>
      <c r="X343">
        <v>179.6</v>
      </c>
      <c r="Y343">
        <v>167.4</v>
      </c>
      <c r="Z343">
        <v>176.1</v>
      </c>
      <c r="AA343">
        <v>161.6</v>
      </c>
      <c r="AB343">
        <v>166.3</v>
      </c>
      <c r="AC343">
        <v>171.4</v>
      </c>
      <c r="AD343">
        <v>169.7</v>
      </c>
      <c r="AE343">
        <v>168.4</v>
      </c>
      <c r="AF343">
        <v>173.4</v>
      </c>
    </row>
    <row r="344" spans="1:32"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R344">
        <v>173.9</v>
      </c>
      <c r="S344">
        <v>193.7</v>
      </c>
      <c r="T344">
        <v>183.2</v>
      </c>
      <c r="U344">
        <v>181.7</v>
      </c>
      <c r="V344">
        <v>183</v>
      </c>
      <c r="W344" t="s">
        <v>32</v>
      </c>
      <c r="X344">
        <v>179.1</v>
      </c>
      <c r="Y344">
        <v>172.3</v>
      </c>
      <c r="Z344">
        <v>179.4</v>
      </c>
      <c r="AA344">
        <v>166.6</v>
      </c>
      <c r="AB344">
        <v>169.3</v>
      </c>
      <c r="AC344">
        <v>175.7</v>
      </c>
      <c r="AD344">
        <v>171.1</v>
      </c>
      <c r="AE344">
        <v>172.6</v>
      </c>
      <c r="AF344">
        <v>175.3</v>
      </c>
    </row>
    <row r="345" spans="1:32"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R345">
        <v>180.4</v>
      </c>
      <c r="S345">
        <v>198.7</v>
      </c>
      <c r="T345">
        <v>173.7</v>
      </c>
      <c r="U345">
        <v>160</v>
      </c>
      <c r="V345">
        <v>171.6</v>
      </c>
      <c r="W345">
        <v>169</v>
      </c>
      <c r="X345">
        <v>178.4</v>
      </c>
      <c r="Y345">
        <v>164.2</v>
      </c>
      <c r="Z345">
        <v>172.6</v>
      </c>
      <c r="AA345">
        <v>157.69999999999999</v>
      </c>
      <c r="AB345">
        <v>165.1</v>
      </c>
      <c r="AC345">
        <v>169.9</v>
      </c>
      <c r="AD345">
        <v>171.4</v>
      </c>
      <c r="AE345">
        <v>165.4</v>
      </c>
      <c r="AF345">
        <v>173.1</v>
      </c>
    </row>
    <row r="346" spans="1:32"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t="str">
        <f>_xlfn.CONCAT(C346," ",B346)</f>
        <v>August 2022</v>
      </c>
      <c r="Q346" t="str">
        <f>TEXT(P346,"mmm-yyyy")</f>
        <v>Aug-2022</v>
      </c>
      <c r="R346">
        <v>176.3</v>
      </c>
      <c r="S346">
        <v>195</v>
      </c>
      <c r="T346">
        <v>179.5</v>
      </c>
      <c r="U346">
        <v>172.7</v>
      </c>
      <c r="V346">
        <v>178.5</v>
      </c>
      <c r="W346">
        <v>169</v>
      </c>
      <c r="X346">
        <v>178.8</v>
      </c>
      <c r="Y346">
        <v>168.5</v>
      </c>
      <c r="Z346">
        <v>176.8</v>
      </c>
      <c r="AA346">
        <v>161.9</v>
      </c>
      <c r="AB346">
        <v>166.9</v>
      </c>
      <c r="AC346">
        <v>172.3</v>
      </c>
      <c r="AD346">
        <v>171.2</v>
      </c>
      <c r="AE346">
        <v>169.1</v>
      </c>
      <c r="AF346">
        <v>174.3</v>
      </c>
    </row>
    <row r="347" spans="1:32"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R347">
        <v>175.5</v>
      </c>
      <c r="S347">
        <v>194.5</v>
      </c>
      <c r="T347">
        <v>184.7</v>
      </c>
      <c r="U347">
        <v>183.3</v>
      </c>
      <c r="V347">
        <v>184.5</v>
      </c>
      <c r="W347" t="s">
        <v>32</v>
      </c>
      <c r="X347">
        <v>179.7</v>
      </c>
      <c r="Y347">
        <v>173.6</v>
      </c>
      <c r="Z347">
        <v>180.2</v>
      </c>
      <c r="AA347">
        <v>166.9</v>
      </c>
      <c r="AB347">
        <v>170</v>
      </c>
      <c r="AC347">
        <v>176.2</v>
      </c>
      <c r="AD347">
        <v>170.8</v>
      </c>
      <c r="AE347">
        <v>173.1</v>
      </c>
      <c r="AF347">
        <v>176.4</v>
      </c>
    </row>
    <row r="348" spans="1:32"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R348">
        <v>181.8</v>
      </c>
      <c r="S348">
        <v>199.7</v>
      </c>
      <c r="T348">
        <v>175</v>
      </c>
      <c r="U348">
        <v>161.69999999999999</v>
      </c>
      <c r="V348">
        <v>173</v>
      </c>
      <c r="W348">
        <v>169.5</v>
      </c>
      <c r="X348">
        <v>179.2</v>
      </c>
      <c r="Y348">
        <v>165</v>
      </c>
      <c r="Z348">
        <v>173.8</v>
      </c>
      <c r="AA348">
        <v>158.19999999999999</v>
      </c>
      <c r="AB348">
        <v>165.8</v>
      </c>
      <c r="AC348">
        <v>170.9</v>
      </c>
      <c r="AD348">
        <v>171.1</v>
      </c>
      <c r="AE348">
        <v>166.1</v>
      </c>
      <c r="AF348">
        <v>174.1</v>
      </c>
    </row>
    <row r="349" spans="1:32"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t="str">
        <f>_xlfn.CONCAT(C349," ",B349)</f>
        <v>September 2022</v>
      </c>
      <c r="Q349" t="str">
        <f>TEXT(P349,"mmm-yyyy")</f>
        <v>Sep-2022</v>
      </c>
      <c r="R349">
        <v>177.8</v>
      </c>
      <c r="S349">
        <v>195.9</v>
      </c>
      <c r="T349">
        <v>180.9</v>
      </c>
      <c r="U349">
        <v>174.3</v>
      </c>
      <c r="V349">
        <v>179.9</v>
      </c>
      <c r="W349">
        <v>169.5</v>
      </c>
      <c r="X349">
        <v>179.5</v>
      </c>
      <c r="Y349">
        <v>169.5</v>
      </c>
      <c r="Z349">
        <v>177.8</v>
      </c>
      <c r="AA349">
        <v>162.30000000000001</v>
      </c>
      <c r="AB349">
        <v>167.6</v>
      </c>
      <c r="AC349">
        <v>173.1</v>
      </c>
      <c r="AD349">
        <v>170.9</v>
      </c>
      <c r="AE349">
        <v>169.7</v>
      </c>
      <c r="AF349">
        <v>175.3</v>
      </c>
    </row>
    <row r="350" spans="1:32"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R350">
        <v>177.4</v>
      </c>
      <c r="S350">
        <v>194.9</v>
      </c>
      <c r="T350">
        <v>186.1</v>
      </c>
      <c r="U350">
        <v>184.4</v>
      </c>
      <c r="V350">
        <v>185.9</v>
      </c>
      <c r="W350" t="s">
        <v>32</v>
      </c>
      <c r="X350">
        <v>180.8</v>
      </c>
      <c r="Y350">
        <v>174.4</v>
      </c>
      <c r="Z350">
        <v>181.2</v>
      </c>
      <c r="AA350">
        <v>167.4</v>
      </c>
      <c r="AB350">
        <v>170.6</v>
      </c>
      <c r="AC350">
        <v>176.5</v>
      </c>
      <c r="AD350">
        <v>172</v>
      </c>
      <c r="AE350">
        <v>173.9</v>
      </c>
      <c r="AF350">
        <v>177.9</v>
      </c>
    </row>
    <row r="351" spans="1:32"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R351">
        <v>183.3</v>
      </c>
      <c r="S351">
        <v>200.1</v>
      </c>
      <c r="T351">
        <v>175.5</v>
      </c>
      <c r="U351">
        <v>162.6</v>
      </c>
      <c r="V351">
        <v>173.6</v>
      </c>
      <c r="W351">
        <v>171.2</v>
      </c>
      <c r="X351">
        <v>180</v>
      </c>
      <c r="Y351">
        <v>166</v>
      </c>
      <c r="Z351">
        <v>174.7</v>
      </c>
      <c r="AA351">
        <v>158.80000000000001</v>
      </c>
      <c r="AB351">
        <v>166.3</v>
      </c>
      <c r="AC351">
        <v>171.2</v>
      </c>
      <c r="AD351">
        <v>172.3</v>
      </c>
      <c r="AE351">
        <v>166.8</v>
      </c>
      <c r="AF351">
        <v>175.3</v>
      </c>
    </row>
    <row r="352" spans="1:32"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t="str">
        <f>_xlfn.CONCAT(C352," ",B352)</f>
        <v>October 2022</v>
      </c>
      <c r="Q352" t="str">
        <f>TEXT(P352,"mmm-yyyy")</f>
        <v>Oct-2022</v>
      </c>
      <c r="R352">
        <v>179.6</v>
      </c>
      <c r="S352">
        <v>196.3</v>
      </c>
      <c r="T352">
        <v>181.9</v>
      </c>
      <c r="U352">
        <v>175.3</v>
      </c>
      <c r="V352">
        <v>181</v>
      </c>
      <c r="W352">
        <v>171.2</v>
      </c>
      <c r="X352">
        <v>180.5</v>
      </c>
      <c r="Y352">
        <v>170.4</v>
      </c>
      <c r="Z352">
        <v>178.7</v>
      </c>
      <c r="AA352">
        <v>162.9</v>
      </c>
      <c r="AB352">
        <v>168.2</v>
      </c>
      <c r="AC352">
        <v>173.4</v>
      </c>
      <c r="AD352">
        <v>172.1</v>
      </c>
      <c r="AE352">
        <v>170.5</v>
      </c>
      <c r="AF352">
        <v>176.7</v>
      </c>
    </row>
    <row r="353" spans="1:32"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R353">
        <v>176.6</v>
      </c>
      <c r="S353">
        <v>195.5</v>
      </c>
      <c r="T353">
        <v>187.2</v>
      </c>
      <c r="U353">
        <v>185.2</v>
      </c>
      <c r="V353">
        <v>186.9</v>
      </c>
      <c r="W353" t="s">
        <v>32</v>
      </c>
      <c r="X353">
        <v>181.9</v>
      </c>
      <c r="Y353">
        <v>175.5</v>
      </c>
      <c r="Z353">
        <v>182.3</v>
      </c>
      <c r="AA353">
        <v>167.5</v>
      </c>
      <c r="AB353">
        <v>170.8</v>
      </c>
      <c r="AC353">
        <v>176.9</v>
      </c>
      <c r="AD353">
        <v>173.4</v>
      </c>
      <c r="AE353">
        <v>174.6</v>
      </c>
      <c r="AF353">
        <v>177.8</v>
      </c>
    </row>
    <row r="354" spans="1:32"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R354">
        <v>181.3</v>
      </c>
      <c r="S354">
        <v>200.6</v>
      </c>
      <c r="T354">
        <v>176.7</v>
      </c>
      <c r="U354">
        <v>163.5</v>
      </c>
      <c r="V354">
        <v>174.7</v>
      </c>
      <c r="W354">
        <v>171.8</v>
      </c>
      <c r="X354">
        <v>180.3</v>
      </c>
      <c r="Y354">
        <v>166.9</v>
      </c>
      <c r="Z354">
        <v>175.8</v>
      </c>
      <c r="AA354">
        <v>158.9</v>
      </c>
      <c r="AB354">
        <v>166.7</v>
      </c>
      <c r="AC354">
        <v>171.5</v>
      </c>
      <c r="AD354">
        <v>173.8</v>
      </c>
      <c r="AE354">
        <v>167.4</v>
      </c>
      <c r="AF354">
        <v>174.1</v>
      </c>
    </row>
    <row r="355" spans="1:32"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t="str">
        <f>_xlfn.CONCAT(C355," ",B355)</f>
        <v>November 2022</v>
      </c>
      <c r="Q355" t="str">
        <f>TEXT(P355,"mmm-yyyy")</f>
        <v>Nov-2022</v>
      </c>
      <c r="R355">
        <v>178.3</v>
      </c>
      <c r="S355">
        <v>196.9</v>
      </c>
      <c r="T355">
        <v>183.1</v>
      </c>
      <c r="U355">
        <v>176.2</v>
      </c>
      <c r="V355">
        <v>182.1</v>
      </c>
      <c r="W355">
        <v>171.8</v>
      </c>
      <c r="X355">
        <v>181.3</v>
      </c>
      <c r="Y355">
        <v>171.4</v>
      </c>
      <c r="Z355">
        <v>179.8</v>
      </c>
      <c r="AA355">
        <v>163</v>
      </c>
      <c r="AB355">
        <v>168.5</v>
      </c>
      <c r="AC355">
        <v>173.7</v>
      </c>
      <c r="AD355">
        <v>173.6</v>
      </c>
      <c r="AE355">
        <v>171.1</v>
      </c>
      <c r="AF355">
        <v>176.5</v>
      </c>
    </row>
    <row r="356" spans="1:32"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R356">
        <v>174.4</v>
      </c>
      <c r="S356">
        <v>195.9</v>
      </c>
      <c r="T356">
        <v>188.1</v>
      </c>
      <c r="U356">
        <v>185.9</v>
      </c>
      <c r="V356">
        <v>187.8</v>
      </c>
      <c r="W356" t="s">
        <v>32</v>
      </c>
      <c r="X356">
        <v>182.8</v>
      </c>
      <c r="Y356">
        <v>176.4</v>
      </c>
      <c r="Z356">
        <v>183.5</v>
      </c>
      <c r="AA356">
        <v>167.8</v>
      </c>
      <c r="AB356">
        <v>171.2</v>
      </c>
      <c r="AC356">
        <v>177.3</v>
      </c>
      <c r="AD356">
        <v>175.7</v>
      </c>
      <c r="AE356">
        <v>175.5</v>
      </c>
      <c r="AF356">
        <v>177.1</v>
      </c>
    </row>
    <row r="357" spans="1:32"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R357">
        <v>178.6</v>
      </c>
      <c r="S357">
        <v>201.1</v>
      </c>
      <c r="T357">
        <v>177.7</v>
      </c>
      <c r="U357">
        <v>164.5</v>
      </c>
      <c r="V357">
        <v>175.7</v>
      </c>
      <c r="W357">
        <v>170.7</v>
      </c>
      <c r="X357">
        <v>180.6</v>
      </c>
      <c r="Y357">
        <v>167.3</v>
      </c>
      <c r="Z357">
        <v>177.2</v>
      </c>
      <c r="AA357">
        <v>159.4</v>
      </c>
      <c r="AB357">
        <v>167.1</v>
      </c>
      <c r="AC357">
        <v>171.8</v>
      </c>
      <c r="AD357">
        <v>176</v>
      </c>
      <c r="AE357">
        <v>168.2</v>
      </c>
      <c r="AF357">
        <v>174.1</v>
      </c>
    </row>
    <row r="358" spans="1:32"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t="str">
        <f>_xlfn.CONCAT(C358," ",B358)</f>
        <v>December 2022</v>
      </c>
      <c r="Q358" t="str">
        <f>TEXT(P358,"mmm-yyyy")</f>
        <v>Dec-2022</v>
      </c>
      <c r="R358">
        <v>175.9</v>
      </c>
      <c r="S358">
        <v>197.3</v>
      </c>
      <c r="T358">
        <v>184</v>
      </c>
      <c r="U358">
        <v>177</v>
      </c>
      <c r="V358">
        <v>183</v>
      </c>
      <c r="W358">
        <v>170.7</v>
      </c>
      <c r="X358">
        <v>182</v>
      </c>
      <c r="Y358">
        <v>172.1</v>
      </c>
      <c r="Z358">
        <v>181.1</v>
      </c>
      <c r="AA358">
        <v>163.4</v>
      </c>
      <c r="AB358">
        <v>168.9</v>
      </c>
      <c r="AC358">
        <v>174.1</v>
      </c>
      <c r="AD358">
        <v>175.8</v>
      </c>
      <c r="AE358">
        <v>172</v>
      </c>
      <c r="AF358">
        <v>175.7</v>
      </c>
    </row>
    <row r="359" spans="1:32"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R359">
        <v>175</v>
      </c>
      <c r="S359">
        <v>196.9</v>
      </c>
      <c r="T359">
        <v>189</v>
      </c>
      <c r="U359">
        <v>186.3</v>
      </c>
      <c r="V359">
        <v>188.6</v>
      </c>
      <c r="W359" t="s">
        <v>32</v>
      </c>
      <c r="X359">
        <v>183.2</v>
      </c>
      <c r="Y359">
        <v>177.2</v>
      </c>
      <c r="Z359">
        <v>184.7</v>
      </c>
      <c r="AA359">
        <v>168.2</v>
      </c>
      <c r="AB359">
        <v>171.8</v>
      </c>
      <c r="AC359">
        <v>177.8</v>
      </c>
      <c r="AD359">
        <v>178.4</v>
      </c>
      <c r="AE359">
        <v>176.5</v>
      </c>
      <c r="AF359">
        <v>177.8</v>
      </c>
    </row>
    <row r="360" spans="1:32"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R360">
        <v>179.5</v>
      </c>
      <c r="S360">
        <v>201.6</v>
      </c>
      <c r="T360">
        <v>178.7</v>
      </c>
      <c r="U360">
        <v>165.3</v>
      </c>
      <c r="V360">
        <v>176.6</v>
      </c>
      <c r="W360">
        <v>172.1</v>
      </c>
      <c r="X360">
        <v>180.1</v>
      </c>
      <c r="Y360">
        <v>168</v>
      </c>
      <c r="Z360">
        <v>178.5</v>
      </c>
      <c r="AA360">
        <v>159.5</v>
      </c>
      <c r="AB360">
        <v>167.8</v>
      </c>
      <c r="AC360">
        <v>171.8</v>
      </c>
      <c r="AD360">
        <v>178.8</v>
      </c>
      <c r="AE360">
        <v>168.9</v>
      </c>
      <c r="AF360">
        <v>174.9</v>
      </c>
    </row>
    <row r="361" spans="1:32"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t="str">
        <f>_xlfn.CONCAT(C361," ",B361)</f>
        <v>January 2023</v>
      </c>
      <c r="Q361" t="str">
        <f>TEXT(P361,"mmm-yyyy")</f>
        <v>Jan-2023</v>
      </c>
      <c r="R361">
        <v>176.7</v>
      </c>
      <c r="S361">
        <v>198.2</v>
      </c>
      <c r="T361">
        <v>184.9</v>
      </c>
      <c r="U361">
        <v>177.6</v>
      </c>
      <c r="V361">
        <v>183.8</v>
      </c>
      <c r="W361">
        <v>172.1</v>
      </c>
      <c r="X361">
        <v>182</v>
      </c>
      <c r="Y361">
        <v>172.9</v>
      </c>
      <c r="Z361">
        <v>182.3</v>
      </c>
      <c r="AA361">
        <v>163.6</v>
      </c>
      <c r="AB361">
        <v>169.5</v>
      </c>
      <c r="AC361">
        <v>174.3</v>
      </c>
      <c r="AD361">
        <v>178.6</v>
      </c>
      <c r="AE361">
        <v>172.8</v>
      </c>
      <c r="AF361">
        <v>176.5</v>
      </c>
    </row>
    <row r="362" spans="1:32"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R362">
        <v>174.8</v>
      </c>
      <c r="S362">
        <v>198.3</v>
      </c>
      <c r="T362">
        <v>190</v>
      </c>
      <c r="U362">
        <v>187</v>
      </c>
      <c r="V362">
        <v>189.6</v>
      </c>
      <c r="W362" t="s">
        <v>32</v>
      </c>
      <c r="X362">
        <v>181.6</v>
      </c>
      <c r="Y362">
        <v>178.6</v>
      </c>
      <c r="Z362">
        <v>186.6</v>
      </c>
      <c r="AA362">
        <v>169</v>
      </c>
      <c r="AB362">
        <v>172.8</v>
      </c>
      <c r="AC362">
        <v>178.5</v>
      </c>
      <c r="AD362">
        <v>180.7</v>
      </c>
      <c r="AE362">
        <v>177.9</v>
      </c>
      <c r="AF362">
        <v>178</v>
      </c>
    </row>
    <row r="363" spans="1:32"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R363">
        <v>180.7</v>
      </c>
      <c r="S363">
        <v>202.7</v>
      </c>
      <c r="T363">
        <v>180.3</v>
      </c>
      <c r="U363">
        <v>167</v>
      </c>
      <c r="V363">
        <v>178.2</v>
      </c>
      <c r="W363">
        <v>173.5</v>
      </c>
      <c r="X363">
        <v>182.8</v>
      </c>
      <c r="Y363">
        <v>169.2</v>
      </c>
      <c r="Z363">
        <v>180.8</v>
      </c>
      <c r="AA363">
        <v>159.80000000000001</v>
      </c>
      <c r="AB363">
        <v>168.4</v>
      </c>
      <c r="AC363">
        <v>172.5</v>
      </c>
      <c r="AD363">
        <v>181.4</v>
      </c>
      <c r="AE363">
        <v>170</v>
      </c>
      <c r="AF363">
        <v>176.3</v>
      </c>
    </row>
    <row r="364" spans="1:32"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t="str">
        <f>_xlfn.CONCAT(C364," ",B364)</f>
        <v>February 2023</v>
      </c>
      <c r="Q364" t="str">
        <f>TEXT(P364,"mmm-yyyy")</f>
        <v>Feb-2023</v>
      </c>
      <c r="R364">
        <v>177</v>
      </c>
      <c r="S364">
        <v>199.5</v>
      </c>
      <c r="T364">
        <v>186.2</v>
      </c>
      <c r="U364">
        <v>178.7</v>
      </c>
      <c r="V364">
        <v>185.1</v>
      </c>
      <c r="W364">
        <v>173.5</v>
      </c>
      <c r="X364">
        <v>182.1</v>
      </c>
      <c r="Y364">
        <v>174.2</v>
      </c>
      <c r="Z364">
        <v>184.4</v>
      </c>
      <c r="AA364">
        <v>164.2</v>
      </c>
      <c r="AB364">
        <v>170.3</v>
      </c>
      <c r="AC364">
        <v>175</v>
      </c>
      <c r="AD364">
        <v>181</v>
      </c>
      <c r="AE364">
        <v>174.1</v>
      </c>
      <c r="AF364">
        <v>177.2</v>
      </c>
    </row>
    <row r="365" spans="1:32"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R365">
        <v>174.8</v>
      </c>
      <c r="S365">
        <v>198.4</v>
      </c>
      <c r="T365">
        <v>190</v>
      </c>
      <c r="U365">
        <v>187</v>
      </c>
      <c r="V365">
        <v>189.6</v>
      </c>
      <c r="W365" t="s">
        <v>32</v>
      </c>
      <c r="X365">
        <v>181.4</v>
      </c>
      <c r="Y365">
        <v>178.6</v>
      </c>
      <c r="Z365">
        <v>186.6</v>
      </c>
      <c r="AA365">
        <v>169</v>
      </c>
      <c r="AB365">
        <v>172.8</v>
      </c>
      <c r="AC365">
        <v>178.5</v>
      </c>
      <c r="AD365">
        <v>180.7</v>
      </c>
      <c r="AE365">
        <v>177.9</v>
      </c>
      <c r="AF365">
        <v>178</v>
      </c>
    </row>
    <row r="366" spans="1:32"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R366">
        <v>180.8</v>
      </c>
      <c r="S366">
        <v>202.7</v>
      </c>
      <c r="T366">
        <v>180.2</v>
      </c>
      <c r="U366">
        <v>167</v>
      </c>
      <c r="V366">
        <v>178.2</v>
      </c>
      <c r="W366">
        <v>173.5</v>
      </c>
      <c r="X366">
        <v>182.6</v>
      </c>
      <c r="Y366">
        <v>169.2</v>
      </c>
      <c r="Z366">
        <v>180.8</v>
      </c>
      <c r="AA366">
        <v>159.80000000000001</v>
      </c>
      <c r="AB366">
        <v>168.4</v>
      </c>
      <c r="AC366">
        <v>172.5</v>
      </c>
      <c r="AD366">
        <v>181.5</v>
      </c>
      <c r="AE366">
        <v>170</v>
      </c>
      <c r="AF366">
        <v>176.3</v>
      </c>
    </row>
    <row r="367" spans="1:32"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t="str">
        <f>_xlfn.CONCAT(C367," ",B367)</f>
        <v>March 2023</v>
      </c>
      <c r="Q367" t="str">
        <f>TEXT(P367,"mmm-yyyy")</f>
        <v>Mar-2023</v>
      </c>
      <c r="R367">
        <v>177</v>
      </c>
      <c r="S367">
        <v>199.5</v>
      </c>
      <c r="T367">
        <v>186.1</v>
      </c>
      <c r="U367">
        <v>178.7</v>
      </c>
      <c r="V367">
        <v>185.1</v>
      </c>
      <c r="W367">
        <v>173.5</v>
      </c>
      <c r="X367">
        <v>181.9</v>
      </c>
      <c r="Y367">
        <v>174.2</v>
      </c>
      <c r="Z367">
        <v>184.4</v>
      </c>
      <c r="AA367">
        <v>164.2</v>
      </c>
      <c r="AB367">
        <v>170.3</v>
      </c>
      <c r="AC367">
        <v>175</v>
      </c>
      <c r="AD367">
        <v>181</v>
      </c>
      <c r="AE367">
        <v>174.1</v>
      </c>
      <c r="AF367">
        <v>177.2</v>
      </c>
    </row>
    <row r="368" spans="1:32"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R368">
        <v>175.5</v>
      </c>
      <c r="S368">
        <v>199.5</v>
      </c>
      <c r="T368">
        <v>190.7</v>
      </c>
      <c r="U368">
        <v>187.3</v>
      </c>
      <c r="V368">
        <v>190.2</v>
      </c>
      <c r="W368" t="s">
        <v>48</v>
      </c>
      <c r="X368">
        <v>181.5</v>
      </c>
      <c r="Y368">
        <v>179.1</v>
      </c>
      <c r="Z368">
        <v>187.2</v>
      </c>
      <c r="AA368">
        <v>169.4</v>
      </c>
      <c r="AB368">
        <v>173.2</v>
      </c>
      <c r="AC368">
        <v>179.4</v>
      </c>
      <c r="AD368">
        <v>183.8</v>
      </c>
      <c r="AE368">
        <v>178.9</v>
      </c>
      <c r="AF368">
        <v>178.8</v>
      </c>
    </row>
    <row r="369" spans="1:32"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R369">
        <v>182.1</v>
      </c>
      <c r="S369">
        <v>203.5</v>
      </c>
      <c r="T369">
        <v>181</v>
      </c>
      <c r="U369">
        <v>167.7</v>
      </c>
      <c r="V369">
        <v>178.9</v>
      </c>
      <c r="W369">
        <v>175.2</v>
      </c>
      <c r="X369">
        <v>182.1</v>
      </c>
      <c r="Y369">
        <v>169.6</v>
      </c>
      <c r="Z369">
        <v>181.5</v>
      </c>
      <c r="AA369">
        <v>160.1</v>
      </c>
      <c r="AB369">
        <v>168.8</v>
      </c>
      <c r="AC369">
        <v>174.2</v>
      </c>
      <c r="AD369">
        <v>184.4</v>
      </c>
      <c r="AE369">
        <v>170.9</v>
      </c>
      <c r="AF369">
        <v>177.4</v>
      </c>
    </row>
    <row r="370" spans="1:32"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t="str">
        <f>_xlfn.CONCAT(C370," ",B370)</f>
        <v>April 2023</v>
      </c>
      <c r="Q370" t="str">
        <f>TEXT(P370,"mmm-yyyy")</f>
        <v>Apr-2023</v>
      </c>
      <c r="R370">
        <v>177.9</v>
      </c>
      <c r="S370">
        <v>200.6</v>
      </c>
      <c r="T370">
        <v>186.9</v>
      </c>
      <c r="U370">
        <v>179.2</v>
      </c>
      <c r="V370">
        <v>185.7</v>
      </c>
      <c r="W370">
        <v>175.2</v>
      </c>
      <c r="X370">
        <v>181.7</v>
      </c>
      <c r="Y370">
        <v>174.6</v>
      </c>
      <c r="Z370">
        <v>185</v>
      </c>
      <c r="AA370">
        <v>164.5</v>
      </c>
      <c r="AB370">
        <v>170.7</v>
      </c>
      <c r="AC370">
        <v>176.4</v>
      </c>
      <c r="AD370">
        <v>184</v>
      </c>
      <c r="AE370">
        <v>175</v>
      </c>
      <c r="AF370">
        <v>178.1</v>
      </c>
    </row>
    <row r="371" spans="1:32"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R371">
        <v>176.8</v>
      </c>
      <c r="S371">
        <v>199.9</v>
      </c>
      <c r="T371">
        <v>191.2</v>
      </c>
      <c r="U371">
        <v>187.9</v>
      </c>
      <c r="V371">
        <v>190.8</v>
      </c>
      <c r="W371" t="s">
        <v>48</v>
      </c>
      <c r="X371">
        <v>182.5</v>
      </c>
      <c r="Y371">
        <v>179.8</v>
      </c>
      <c r="Z371">
        <v>187.8</v>
      </c>
      <c r="AA371">
        <v>169.7</v>
      </c>
      <c r="AB371">
        <v>173.8</v>
      </c>
      <c r="AC371">
        <v>180.3</v>
      </c>
      <c r="AD371">
        <v>184.9</v>
      </c>
      <c r="AE371">
        <v>179.5</v>
      </c>
      <c r="AF371">
        <v>179.8</v>
      </c>
    </row>
    <row r="372" spans="1:32" hidden="1" x14ac:dyDescent="0.3">
      <c r="A372" t="s">
        <v>33</v>
      </c>
      <c r="B372">
        <v>2023</v>
      </c>
      <c r="C372" t="s">
        <v>38</v>
      </c>
      <c r="D372">
        <v>174.7</v>
      </c>
      <c r="E372">
        <v>219.4</v>
      </c>
      <c r="F372">
        <v>176.7</v>
      </c>
      <c r="G372">
        <v>179.4</v>
      </c>
      <c r="H372">
        <v>164.4</v>
      </c>
      <c r="I372">
        <v>175.8</v>
      </c>
      <c r="J372">
        <v>185</v>
      </c>
      <c r="K372">
        <v>176.9</v>
      </c>
      <c r="L372">
        <v>124.2</v>
      </c>
      <c r="M372">
        <v>211.9</v>
      </c>
      <c r="N372">
        <v>165.9</v>
      </c>
      <c r="O372">
        <v>197.7</v>
      </c>
      <c r="R372">
        <v>183.1</v>
      </c>
      <c r="S372">
        <v>204.2</v>
      </c>
      <c r="T372">
        <v>181.3</v>
      </c>
      <c r="U372">
        <v>168.1</v>
      </c>
      <c r="V372">
        <v>179.3</v>
      </c>
      <c r="W372">
        <v>175.6</v>
      </c>
      <c r="X372">
        <v>183.4</v>
      </c>
      <c r="Y372">
        <v>170.1</v>
      </c>
      <c r="Z372">
        <v>182.2</v>
      </c>
      <c r="AA372">
        <v>160.4</v>
      </c>
      <c r="AB372">
        <v>169.2</v>
      </c>
      <c r="AC372">
        <v>174.8</v>
      </c>
      <c r="AD372">
        <v>185.6</v>
      </c>
      <c r="AE372">
        <v>171.6</v>
      </c>
      <c r="AF372">
        <v>178.2</v>
      </c>
    </row>
    <row r="373" spans="1:32"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t="str">
        <f>_xlfn.CONCAT(C373," ",B373)</f>
        <v>May 2023</v>
      </c>
      <c r="Q373" t="str">
        <f>TEXT(P373,"mmm-yyyy")</f>
        <v>May-2023</v>
      </c>
      <c r="R373">
        <v>179.1</v>
      </c>
      <c r="S373">
        <v>201</v>
      </c>
      <c r="T373">
        <v>187.3</v>
      </c>
      <c r="U373">
        <v>179.7</v>
      </c>
      <c r="V373">
        <v>186.2</v>
      </c>
      <c r="W373">
        <v>175.6</v>
      </c>
      <c r="X373">
        <v>182.8</v>
      </c>
      <c r="Y373">
        <v>175.2</v>
      </c>
      <c r="Z373">
        <v>185.7</v>
      </c>
      <c r="AA373">
        <v>164.8</v>
      </c>
      <c r="AB373">
        <v>171.2</v>
      </c>
      <c r="AC373">
        <v>177.1</v>
      </c>
      <c r="AD373">
        <v>185.2</v>
      </c>
      <c r="AE373">
        <v>175.7</v>
      </c>
      <c r="AF373">
        <v>179.1</v>
      </c>
    </row>
    <row r="376" spans="1:32" x14ac:dyDescent="0.3">
      <c r="A376" t="s">
        <v>97</v>
      </c>
      <c r="B376" t="s">
        <v>99</v>
      </c>
      <c r="C376" t="s">
        <v>100</v>
      </c>
      <c r="Q376" s="6" t="s">
        <v>87</v>
      </c>
      <c r="R376" t="s">
        <v>114</v>
      </c>
    </row>
    <row r="377" spans="1:32" x14ac:dyDescent="0.3">
      <c r="A377" s="11">
        <v>44682</v>
      </c>
      <c r="B377">
        <v>173.3</v>
      </c>
      <c r="Q377" s="7" t="s">
        <v>101</v>
      </c>
      <c r="R377" s="9">
        <v>1.5166063339047067</v>
      </c>
    </row>
    <row r="378" spans="1:32" x14ac:dyDescent="0.3">
      <c r="A378" s="11">
        <v>44713</v>
      </c>
      <c r="B378">
        <v>174.9</v>
      </c>
      <c r="C378" s="9">
        <f>(B378-B377)/B377*100</f>
        <v>0.92325447201384547</v>
      </c>
      <c r="Q378" s="12" t="s">
        <v>38</v>
      </c>
      <c r="R378" s="9"/>
    </row>
    <row r="379" spans="1:32" x14ac:dyDescent="0.3">
      <c r="A379" s="11">
        <v>44743</v>
      </c>
      <c r="B379">
        <v>175</v>
      </c>
      <c r="C379" s="9">
        <f t="shared" ref="C379:C389" si="0">(B379-B378)/B378*100</f>
        <v>5.7175528873638831E-2</v>
      </c>
      <c r="Q379" s="12" t="s">
        <v>103</v>
      </c>
      <c r="R379" s="9">
        <v>0.92325447201384547</v>
      </c>
    </row>
    <row r="380" spans="1:32" x14ac:dyDescent="0.3">
      <c r="A380" s="11">
        <v>44774</v>
      </c>
      <c r="B380">
        <v>176.3</v>
      </c>
      <c r="C380" s="9">
        <f t="shared" si="0"/>
        <v>0.74285714285714932</v>
      </c>
      <c r="Q380" s="12" t="s">
        <v>104</v>
      </c>
      <c r="R380" s="9">
        <v>5.7175528873638831E-2</v>
      </c>
    </row>
    <row r="381" spans="1:32" x14ac:dyDescent="0.3">
      <c r="A381" s="11">
        <v>44805</v>
      </c>
      <c r="B381">
        <v>177.8</v>
      </c>
      <c r="C381" s="9">
        <f t="shared" si="0"/>
        <v>0.85082246171298925</v>
      </c>
      <c r="Q381" s="12" t="s">
        <v>105</v>
      </c>
      <c r="R381" s="9">
        <v>0.74285714285714932</v>
      </c>
    </row>
    <row r="382" spans="1:32" x14ac:dyDescent="0.3">
      <c r="A382" s="11">
        <v>44835</v>
      </c>
      <c r="B382">
        <v>179.6</v>
      </c>
      <c r="C382" s="9">
        <f t="shared" si="0"/>
        <v>1.0123734533183255</v>
      </c>
      <c r="Q382" s="12" t="s">
        <v>106</v>
      </c>
      <c r="R382" s="9">
        <v>0.85082246171298925</v>
      </c>
    </row>
    <row r="383" spans="1:32" x14ac:dyDescent="0.3">
      <c r="A383" s="11">
        <v>44866</v>
      </c>
      <c r="B383">
        <v>178.3</v>
      </c>
      <c r="C383" s="9">
        <f t="shared" si="0"/>
        <v>-0.7238307349665829</v>
      </c>
      <c r="Q383" s="12" t="s">
        <v>107</v>
      </c>
      <c r="R383" s="9">
        <v>1.0123734533183255</v>
      </c>
    </row>
    <row r="384" spans="1:32" x14ac:dyDescent="0.3">
      <c r="A384" s="11">
        <v>44896</v>
      </c>
      <c r="B384">
        <v>175.9</v>
      </c>
      <c r="C384" s="9">
        <f t="shared" si="0"/>
        <v>-1.3460459899046582</v>
      </c>
      <c r="Q384" s="12" t="s">
        <v>108</v>
      </c>
      <c r="R384" s="9">
        <v>-0.7238307349665829</v>
      </c>
    </row>
    <row r="385" spans="1:18" x14ac:dyDescent="0.3">
      <c r="A385" s="11">
        <v>44927</v>
      </c>
      <c r="B385">
        <v>176.7</v>
      </c>
      <c r="C385" s="9">
        <f t="shared" si="0"/>
        <v>0.45480386583284982</v>
      </c>
      <c r="Q385" s="12" t="s">
        <v>109</v>
      </c>
      <c r="R385" s="9">
        <v>-1.3460459899046582</v>
      </c>
    </row>
    <row r="386" spans="1:18" x14ac:dyDescent="0.3">
      <c r="A386" s="11">
        <v>44958</v>
      </c>
      <c r="B386">
        <v>177</v>
      </c>
      <c r="C386" s="9">
        <f t="shared" si="0"/>
        <v>0.16977928692700134</v>
      </c>
      <c r="Q386" s="7" t="s">
        <v>102</v>
      </c>
      <c r="R386" s="9">
        <v>1.8075939853548117</v>
      </c>
    </row>
    <row r="387" spans="1:18" x14ac:dyDescent="0.3">
      <c r="A387" s="11">
        <v>44986</v>
      </c>
      <c r="B387">
        <v>177</v>
      </c>
      <c r="C387" s="9">
        <f t="shared" si="0"/>
        <v>0</v>
      </c>
      <c r="Q387" s="12" t="s">
        <v>110</v>
      </c>
      <c r="R387" s="9">
        <v>0.45480386583284982</v>
      </c>
    </row>
    <row r="388" spans="1:18" x14ac:dyDescent="0.3">
      <c r="A388" s="11">
        <v>45017</v>
      </c>
      <c r="B388">
        <v>177.9</v>
      </c>
      <c r="C388" s="9">
        <f t="shared" si="0"/>
        <v>0.50847457627118964</v>
      </c>
      <c r="Q388" s="12" t="s">
        <v>111</v>
      </c>
      <c r="R388" s="9">
        <v>0.16977928692700134</v>
      </c>
    </row>
    <row r="389" spans="1:18" x14ac:dyDescent="0.3">
      <c r="A389" s="11">
        <v>45047</v>
      </c>
      <c r="B389">
        <v>179.1</v>
      </c>
      <c r="C389" s="9">
        <f t="shared" si="0"/>
        <v>0.6745362563237709</v>
      </c>
      <c r="Q389" s="12" t="s">
        <v>112</v>
      </c>
      <c r="R389" s="9">
        <v>0</v>
      </c>
    </row>
    <row r="390" spans="1:18" x14ac:dyDescent="0.3">
      <c r="Q390" s="12" t="s">
        <v>113</v>
      </c>
      <c r="R390" s="9">
        <v>0.50847457627118964</v>
      </c>
    </row>
    <row r="391" spans="1:18" x14ac:dyDescent="0.3">
      <c r="Q391" s="12" t="s">
        <v>38</v>
      </c>
      <c r="R391" s="9">
        <v>0.6745362563237709</v>
      </c>
    </row>
    <row r="392" spans="1:18" x14ac:dyDescent="0.3">
      <c r="Q392" s="7" t="s">
        <v>88</v>
      </c>
      <c r="R392" s="9">
        <v>3.3242003192595182</v>
      </c>
    </row>
  </sheetData>
  <autoFilter ref="A1:AF373" xr:uid="{7E5C8676-7E64-4DC3-99EA-592AA0E248F6}">
    <filterColumn colId="0">
      <filters>
        <filter val="Rural+Urban"/>
      </filters>
    </filterColumn>
    <filterColumn colId="1">
      <filters>
        <filter val="2022"/>
        <filter val="2023"/>
      </filters>
    </filterColumn>
  </autoFilter>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01DE-892E-4F4C-92D3-1B10E045FF1E}">
  <sheetPr filterMode="1"/>
  <dimension ref="A1:AD389"/>
  <sheetViews>
    <sheetView workbookViewId="0">
      <selection activeCell="G393" sqref="G393"/>
    </sheetView>
  </sheetViews>
  <sheetFormatPr defaultRowHeight="14.4" x14ac:dyDescent="0.3"/>
  <cols>
    <col min="1" max="1" width="29.33203125" customWidth="1"/>
    <col min="6" max="6" width="30.44140625" bestFit="1" customWidth="1"/>
    <col min="7" max="7" width="15.33203125" bestFit="1" customWidth="1"/>
    <col min="15" max="15" width="30.109375" customWidth="1"/>
    <col min="16" max="30" width="0" hidden="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hidden="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hidden="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hidden="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hidden="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hidden="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hidden="1"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hidden="1"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hidden="1"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hidden="1"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hidden="1"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hidden="1"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hidden="1"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hidden="1"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hidden="1"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hidden="1"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hidden="1"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hidden="1"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hidden="1"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hidden="1"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hidden="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hidden="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hidden="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hidden="1"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hidden="1"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hidden="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hidden="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hidden="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hidden="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hidden="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hidden="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hidden="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hidden="1"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hidden="1"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hidden="1"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hidden="1"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hidden="1"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hidden="1"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hidden="1"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hidden="1"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hidden="1"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hidden="1"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hidden="1"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hidden="1"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hidden="1"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hidden="1"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hidden="1"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hidden="1"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hidden="1"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hidden="1"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hidden="1"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hidden="1"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hidden="1"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hidden="1"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hidden="1"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hidden="1"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hidden="1"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hidden="1"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hidden="1"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hidden="1"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row r="376" spans="1:30" x14ac:dyDescent="0.3">
      <c r="A376" t="s">
        <v>82</v>
      </c>
      <c r="B376" s="11">
        <v>44682</v>
      </c>
      <c r="C376" s="11">
        <v>45047</v>
      </c>
      <c r="D376" t="s">
        <v>115</v>
      </c>
      <c r="F376" s="6" t="s">
        <v>87</v>
      </c>
      <c r="G376" t="s">
        <v>116</v>
      </c>
    </row>
    <row r="377" spans="1:30" x14ac:dyDescent="0.3">
      <c r="A377" t="str" cm="1">
        <f t="array" ref="A377:A388">TRANSPOSE(D1:O1)</f>
        <v>Cereals and products</v>
      </c>
      <c r="B377" cm="1">
        <f t="array" ref="B377:B388">TRANSPOSE(D337:O337)</f>
        <v>154.1</v>
      </c>
      <c r="C377" cm="1">
        <f t="array" ref="C377:C388">TRANSPOSE(D373:O373)</f>
        <v>173.7</v>
      </c>
      <c r="D377">
        <f>C377-B377</f>
        <v>19.599999999999994</v>
      </c>
      <c r="F377" s="7" t="s">
        <v>3</v>
      </c>
      <c r="G377">
        <v>19.599999999999994</v>
      </c>
    </row>
    <row r="378" spans="1:30" x14ac:dyDescent="0.3">
      <c r="A378" t="str">
        <v>Meat and fish</v>
      </c>
      <c r="B378">
        <v>217</v>
      </c>
      <c r="C378">
        <v>214.3</v>
      </c>
      <c r="D378">
        <f t="shared" ref="D378:D388" si="0">C378-B378</f>
        <v>-2.6999999999999886</v>
      </c>
      <c r="F378" s="7" t="s">
        <v>5</v>
      </c>
      <c r="G378">
        <v>10.799999999999983</v>
      </c>
    </row>
    <row r="379" spans="1:30" x14ac:dyDescent="0.3">
      <c r="A379" t="str">
        <v>Egg</v>
      </c>
      <c r="B379">
        <v>162.4</v>
      </c>
      <c r="C379">
        <v>173.2</v>
      </c>
      <c r="D379">
        <f t="shared" si="0"/>
        <v>10.799999999999983</v>
      </c>
      <c r="F379" s="7" t="s">
        <v>8</v>
      </c>
      <c r="G379">
        <v>1.1999999999999886</v>
      </c>
    </row>
    <row r="380" spans="1:30" x14ac:dyDescent="0.3">
      <c r="A380" t="str">
        <v>Milk and products</v>
      </c>
      <c r="B380">
        <v>164.9</v>
      </c>
      <c r="C380">
        <v>179.5</v>
      </c>
      <c r="D380">
        <f t="shared" si="0"/>
        <v>14.599999999999994</v>
      </c>
      <c r="F380" s="7" t="s">
        <v>4</v>
      </c>
      <c r="G380">
        <v>-2.6999999999999886</v>
      </c>
    </row>
    <row r="381" spans="1:30" x14ac:dyDescent="0.3">
      <c r="A381" t="str">
        <v>Oils and fats</v>
      </c>
      <c r="B381">
        <v>202.4</v>
      </c>
      <c r="C381">
        <v>170</v>
      </c>
      <c r="D381">
        <f t="shared" si="0"/>
        <v>-32.400000000000006</v>
      </c>
      <c r="F381" s="7" t="s">
        <v>6</v>
      </c>
      <c r="G381">
        <v>14.599999999999994</v>
      </c>
    </row>
    <row r="382" spans="1:30" x14ac:dyDescent="0.3">
      <c r="A382" t="str">
        <v>Fruits</v>
      </c>
      <c r="B382">
        <v>171</v>
      </c>
      <c r="C382">
        <v>172.2</v>
      </c>
      <c r="D382">
        <f t="shared" si="0"/>
        <v>1.1999999999999886</v>
      </c>
      <c r="F382" s="7" t="s">
        <v>13</v>
      </c>
      <c r="G382">
        <v>6.3000000000000114</v>
      </c>
    </row>
    <row r="383" spans="1:30" x14ac:dyDescent="0.3">
      <c r="A383" t="str">
        <v>Vegetables</v>
      </c>
      <c r="B383">
        <v>174.9</v>
      </c>
      <c r="C383">
        <v>161</v>
      </c>
      <c r="D383">
        <f t="shared" si="0"/>
        <v>-13.900000000000006</v>
      </c>
      <c r="F383" s="7" t="s">
        <v>7</v>
      </c>
      <c r="G383">
        <v>-32.400000000000006</v>
      </c>
    </row>
    <row r="384" spans="1:30" x14ac:dyDescent="0.3">
      <c r="A384" t="str">
        <v>Pulses and products</v>
      </c>
      <c r="B384">
        <v>164.7</v>
      </c>
      <c r="C384">
        <v>175.6</v>
      </c>
      <c r="D384">
        <f t="shared" si="0"/>
        <v>10.900000000000006</v>
      </c>
      <c r="F384" s="7" t="s">
        <v>14</v>
      </c>
      <c r="G384">
        <v>11.699999999999989</v>
      </c>
    </row>
    <row r="385" spans="1:7" x14ac:dyDescent="0.3">
      <c r="A385" t="str">
        <v>Sugar and Confectionery</v>
      </c>
      <c r="B385">
        <v>119.7</v>
      </c>
      <c r="C385">
        <v>122.7</v>
      </c>
      <c r="D385">
        <f t="shared" si="0"/>
        <v>3</v>
      </c>
      <c r="F385" s="7" t="s">
        <v>10</v>
      </c>
      <c r="G385">
        <v>10.900000000000006</v>
      </c>
    </row>
    <row r="386" spans="1:7" x14ac:dyDescent="0.3">
      <c r="A386" t="str">
        <v>Spices</v>
      </c>
      <c r="B386">
        <v>184.9</v>
      </c>
      <c r="C386">
        <v>218</v>
      </c>
      <c r="D386">
        <f t="shared" si="0"/>
        <v>33.099999999999994</v>
      </c>
      <c r="F386" s="7" t="s">
        <v>12</v>
      </c>
      <c r="G386">
        <v>33.099999999999994</v>
      </c>
    </row>
    <row r="387" spans="1:7" x14ac:dyDescent="0.3">
      <c r="A387" t="str">
        <v>Non-alcoholic beverages</v>
      </c>
      <c r="B387">
        <v>167.1</v>
      </c>
      <c r="C387">
        <v>173.4</v>
      </c>
      <c r="D387">
        <f t="shared" si="0"/>
        <v>6.3000000000000114</v>
      </c>
      <c r="F387" s="7" t="s">
        <v>11</v>
      </c>
      <c r="G387">
        <v>3</v>
      </c>
    </row>
    <row r="388" spans="1:7" x14ac:dyDescent="0.3">
      <c r="A388" t="str">
        <v>Prepared meals, snacks, sweets etc.</v>
      </c>
      <c r="B388">
        <v>182.5</v>
      </c>
      <c r="C388">
        <v>194.2</v>
      </c>
      <c r="D388">
        <f t="shared" si="0"/>
        <v>11.699999999999989</v>
      </c>
      <c r="F388" s="7" t="s">
        <v>9</v>
      </c>
      <c r="G388">
        <v>-13.900000000000006</v>
      </c>
    </row>
    <row r="389" spans="1:7" x14ac:dyDescent="0.3">
      <c r="F389" s="7" t="s">
        <v>88</v>
      </c>
      <c r="G389">
        <v>62.19999999999996</v>
      </c>
    </row>
  </sheetData>
  <autoFilter ref="A1:AD373" xr:uid="{416701DE-892E-4F4C-92D3-1B10E045FF1E}">
    <filterColumn colId="0">
      <filters>
        <filter val="Rural+Urban"/>
      </filters>
    </filterColumn>
    <filterColumn colId="1">
      <filters>
        <filter val="2022"/>
        <filter val="2023"/>
      </filters>
    </filterColumn>
    <filterColumn colId="2">
      <filters>
        <filter val="May"/>
      </filters>
    </filterColumn>
  </autoFilter>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3024D-7B64-4113-A099-B1AFBBF78844}">
  <sheetPr filterMode="1"/>
  <dimension ref="A1:AL382"/>
  <sheetViews>
    <sheetView workbookViewId="0">
      <pane ySplit="147" topLeftCell="A361" activePane="bottomLeft" state="frozen"/>
      <selection pane="bottomLeft" activeCell="AM352" sqref="AM352"/>
    </sheetView>
  </sheetViews>
  <sheetFormatPr defaultRowHeight="14.4" x14ac:dyDescent="0.3"/>
  <cols>
    <col min="4" max="15" width="0" hidden="1" customWidth="1"/>
    <col min="17" max="17" width="14.88671875" bestFit="1" customWidth="1"/>
    <col min="18" max="23" width="0" hidden="1" customWidth="1"/>
    <col min="27" max="30" width="0" hidden="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131</v>
      </c>
      <c r="Q1" t="s">
        <v>15</v>
      </c>
      <c r="R1" t="s">
        <v>16</v>
      </c>
      <c r="S1" t="s">
        <v>17</v>
      </c>
      <c r="T1" t="s">
        <v>18</v>
      </c>
      <c r="U1" t="s">
        <v>19</v>
      </c>
      <c r="V1" t="s">
        <v>20</v>
      </c>
      <c r="W1" t="s">
        <v>21</v>
      </c>
      <c r="X1" t="s">
        <v>22</v>
      </c>
      <c r="Y1" t="s">
        <v>23</v>
      </c>
      <c r="Z1" t="s">
        <v>24</v>
      </c>
      <c r="AA1" t="s">
        <v>25</v>
      </c>
      <c r="AB1" t="s">
        <v>26</v>
      </c>
      <c r="AC1" t="s">
        <v>27</v>
      </c>
      <c r="AD1" t="s">
        <v>28</v>
      </c>
      <c r="AE1" t="s">
        <v>29</v>
      </c>
      <c r="AF1" t="s">
        <v>126</v>
      </c>
      <c r="AG1" t="s">
        <v>127</v>
      </c>
      <c r="AH1" t="s">
        <v>128</v>
      </c>
      <c r="AI1" t="s">
        <v>129</v>
      </c>
      <c r="AJ1" t="s">
        <v>130</v>
      </c>
    </row>
    <row r="2" spans="1:36" hidden="1" x14ac:dyDescent="0.3">
      <c r="A2" t="s">
        <v>30</v>
      </c>
      <c r="B2">
        <v>2013</v>
      </c>
      <c r="C2" t="s">
        <v>31</v>
      </c>
      <c r="D2">
        <v>107.5</v>
      </c>
      <c r="E2">
        <v>106.3</v>
      </c>
      <c r="F2">
        <v>108.1</v>
      </c>
      <c r="G2">
        <v>104.9</v>
      </c>
      <c r="H2">
        <v>106.1</v>
      </c>
      <c r="I2">
        <v>103.9</v>
      </c>
      <c r="J2">
        <v>101.9</v>
      </c>
      <c r="K2">
        <v>106.1</v>
      </c>
      <c r="L2">
        <v>106.8</v>
      </c>
      <c r="M2">
        <v>103.1</v>
      </c>
      <c r="N2">
        <v>104.8</v>
      </c>
      <c r="O2">
        <v>106.7</v>
      </c>
      <c r="Q2">
        <v>105.5</v>
      </c>
      <c r="R2">
        <v>105.1</v>
      </c>
      <c r="S2">
        <v>106.5</v>
      </c>
      <c r="T2">
        <v>105.8</v>
      </c>
      <c r="U2">
        <v>106.4</v>
      </c>
      <c r="V2" t="s">
        <v>32</v>
      </c>
      <c r="W2">
        <v>105.5</v>
      </c>
      <c r="X2">
        <v>104.8</v>
      </c>
      <c r="Y2">
        <v>104</v>
      </c>
      <c r="Z2">
        <v>103.3</v>
      </c>
      <c r="AA2">
        <v>103.4</v>
      </c>
      <c r="AB2">
        <v>103.8</v>
      </c>
      <c r="AC2">
        <v>104.7</v>
      </c>
      <c r="AD2">
        <v>104</v>
      </c>
      <c r="AE2">
        <v>105.1</v>
      </c>
    </row>
    <row r="3" spans="1:36" hidden="1" x14ac:dyDescent="0.3">
      <c r="A3" t="s">
        <v>33</v>
      </c>
      <c r="B3">
        <v>2013</v>
      </c>
      <c r="C3" t="s">
        <v>31</v>
      </c>
      <c r="D3">
        <v>110.5</v>
      </c>
      <c r="E3">
        <v>109.1</v>
      </c>
      <c r="F3">
        <v>113</v>
      </c>
      <c r="G3">
        <v>103.6</v>
      </c>
      <c r="H3">
        <v>103.4</v>
      </c>
      <c r="I3">
        <v>102.3</v>
      </c>
      <c r="J3">
        <v>102.9</v>
      </c>
      <c r="K3">
        <v>105.8</v>
      </c>
      <c r="L3">
        <v>105.1</v>
      </c>
      <c r="M3">
        <v>101.8</v>
      </c>
      <c r="N3">
        <v>105.1</v>
      </c>
      <c r="O3">
        <v>107.9</v>
      </c>
      <c r="Q3">
        <v>105.9</v>
      </c>
      <c r="R3">
        <v>105.2</v>
      </c>
      <c r="S3">
        <v>105.9</v>
      </c>
      <c r="T3">
        <v>105</v>
      </c>
      <c r="U3">
        <v>105.8</v>
      </c>
      <c r="V3">
        <v>100.3</v>
      </c>
      <c r="W3">
        <v>105.4</v>
      </c>
      <c r="X3">
        <v>104.8</v>
      </c>
      <c r="Y3">
        <v>104.1</v>
      </c>
      <c r="Z3">
        <v>103.2</v>
      </c>
      <c r="AA3">
        <v>102.9</v>
      </c>
      <c r="AB3">
        <v>103.5</v>
      </c>
      <c r="AC3">
        <v>104.3</v>
      </c>
      <c r="AD3">
        <v>103.7</v>
      </c>
      <c r="AE3">
        <v>104</v>
      </c>
    </row>
    <row r="4" spans="1:36" hidden="1" x14ac:dyDescent="0.3">
      <c r="A4" t="s">
        <v>34</v>
      </c>
      <c r="B4">
        <v>2013</v>
      </c>
      <c r="C4" t="s">
        <v>31</v>
      </c>
      <c r="D4">
        <v>108.4</v>
      </c>
      <c r="E4">
        <v>107.3</v>
      </c>
      <c r="F4">
        <v>110</v>
      </c>
      <c r="G4">
        <v>104.4</v>
      </c>
      <c r="H4">
        <v>105.1</v>
      </c>
      <c r="I4">
        <v>103.2</v>
      </c>
      <c r="J4">
        <v>102.2</v>
      </c>
      <c r="K4">
        <v>106</v>
      </c>
      <c r="L4">
        <v>106.2</v>
      </c>
      <c r="M4">
        <v>102.7</v>
      </c>
      <c r="N4">
        <v>104.9</v>
      </c>
      <c r="O4">
        <v>107.3</v>
      </c>
      <c r="Q4">
        <v>105.6</v>
      </c>
      <c r="R4">
        <v>105.1</v>
      </c>
      <c r="S4">
        <v>106.3</v>
      </c>
      <c r="T4">
        <v>105.5</v>
      </c>
      <c r="U4">
        <v>106.2</v>
      </c>
      <c r="V4">
        <v>100.3</v>
      </c>
      <c r="W4">
        <v>105.5</v>
      </c>
      <c r="X4">
        <v>104.8</v>
      </c>
      <c r="Y4">
        <v>104</v>
      </c>
      <c r="Z4">
        <v>103.2</v>
      </c>
      <c r="AA4">
        <v>103.1</v>
      </c>
      <c r="AB4">
        <v>103.6</v>
      </c>
      <c r="AC4">
        <v>104.5</v>
      </c>
      <c r="AD4">
        <v>103.9</v>
      </c>
      <c r="AE4">
        <v>104.6</v>
      </c>
    </row>
    <row r="5" spans="1:36" hidden="1" x14ac:dyDescent="0.3">
      <c r="A5" t="s">
        <v>30</v>
      </c>
      <c r="B5">
        <v>2013</v>
      </c>
      <c r="C5" t="s">
        <v>35</v>
      </c>
      <c r="D5">
        <v>109.2</v>
      </c>
      <c r="E5">
        <v>108.7</v>
      </c>
      <c r="F5">
        <v>110.2</v>
      </c>
      <c r="G5">
        <v>105.4</v>
      </c>
      <c r="H5">
        <v>106.7</v>
      </c>
      <c r="I5">
        <v>104</v>
      </c>
      <c r="J5">
        <v>102.4</v>
      </c>
      <c r="K5">
        <v>105.9</v>
      </c>
      <c r="L5">
        <v>105.7</v>
      </c>
      <c r="M5">
        <v>103.1</v>
      </c>
      <c r="N5">
        <v>105.1</v>
      </c>
      <c r="O5">
        <v>107.7</v>
      </c>
      <c r="Q5">
        <v>106.3</v>
      </c>
      <c r="R5">
        <v>105.6</v>
      </c>
      <c r="S5">
        <v>107.1</v>
      </c>
      <c r="T5">
        <v>106.3</v>
      </c>
      <c r="U5">
        <v>107</v>
      </c>
      <c r="V5" t="s">
        <v>32</v>
      </c>
      <c r="W5">
        <v>106.2</v>
      </c>
      <c r="X5">
        <v>105.2</v>
      </c>
      <c r="Y5">
        <v>104.4</v>
      </c>
      <c r="Z5">
        <v>103.9</v>
      </c>
      <c r="AA5">
        <v>104</v>
      </c>
      <c r="AB5">
        <v>104.1</v>
      </c>
      <c r="AC5">
        <v>104.6</v>
      </c>
      <c r="AD5">
        <v>104.4</v>
      </c>
      <c r="AE5">
        <v>105.8</v>
      </c>
    </row>
    <row r="6" spans="1:36" hidden="1" x14ac:dyDescent="0.3">
      <c r="A6" t="s">
        <v>33</v>
      </c>
      <c r="B6">
        <v>2013</v>
      </c>
      <c r="C6" t="s">
        <v>35</v>
      </c>
      <c r="D6">
        <v>112.9</v>
      </c>
      <c r="E6">
        <v>112.9</v>
      </c>
      <c r="F6">
        <v>116.9</v>
      </c>
      <c r="G6">
        <v>104</v>
      </c>
      <c r="H6">
        <v>103.5</v>
      </c>
      <c r="I6">
        <v>103.1</v>
      </c>
      <c r="J6">
        <v>104.9</v>
      </c>
      <c r="K6">
        <v>104.1</v>
      </c>
      <c r="L6">
        <v>103.8</v>
      </c>
      <c r="M6">
        <v>102.3</v>
      </c>
      <c r="N6">
        <v>106</v>
      </c>
      <c r="O6">
        <v>109</v>
      </c>
      <c r="Q6">
        <v>107.2</v>
      </c>
      <c r="R6">
        <v>106</v>
      </c>
      <c r="S6">
        <v>106.6</v>
      </c>
      <c r="T6">
        <v>105.5</v>
      </c>
      <c r="U6">
        <v>106.4</v>
      </c>
      <c r="V6">
        <v>100.4</v>
      </c>
      <c r="W6">
        <v>105.7</v>
      </c>
      <c r="X6">
        <v>105.2</v>
      </c>
      <c r="Y6">
        <v>104.7</v>
      </c>
      <c r="Z6">
        <v>104.4</v>
      </c>
      <c r="AA6">
        <v>103.3</v>
      </c>
      <c r="AB6">
        <v>103.7</v>
      </c>
      <c r="AC6">
        <v>104.3</v>
      </c>
      <c r="AD6">
        <v>104.3</v>
      </c>
      <c r="AE6">
        <v>104.7</v>
      </c>
    </row>
    <row r="7" spans="1:36" hidden="1" x14ac:dyDescent="0.3">
      <c r="A7" t="s">
        <v>34</v>
      </c>
      <c r="B7">
        <v>2013</v>
      </c>
      <c r="C7" t="s">
        <v>35</v>
      </c>
      <c r="D7">
        <v>110.4</v>
      </c>
      <c r="E7">
        <v>110.2</v>
      </c>
      <c r="F7">
        <v>112.8</v>
      </c>
      <c r="G7">
        <v>104.9</v>
      </c>
      <c r="H7">
        <v>105.5</v>
      </c>
      <c r="I7">
        <v>103.6</v>
      </c>
      <c r="J7">
        <v>103.2</v>
      </c>
      <c r="K7">
        <v>105.3</v>
      </c>
      <c r="L7">
        <v>105.1</v>
      </c>
      <c r="M7">
        <v>102.8</v>
      </c>
      <c r="N7">
        <v>105.5</v>
      </c>
      <c r="O7">
        <v>108.3</v>
      </c>
      <c r="Q7">
        <v>106.6</v>
      </c>
      <c r="R7">
        <v>105.7</v>
      </c>
      <c r="S7">
        <v>106.9</v>
      </c>
      <c r="T7">
        <v>106</v>
      </c>
      <c r="U7">
        <v>106.8</v>
      </c>
      <c r="V7">
        <v>100.4</v>
      </c>
      <c r="W7">
        <v>106</v>
      </c>
      <c r="X7">
        <v>105.2</v>
      </c>
      <c r="Y7">
        <v>104.5</v>
      </c>
      <c r="Z7">
        <v>104.2</v>
      </c>
      <c r="AA7">
        <v>103.6</v>
      </c>
      <c r="AB7">
        <v>103.9</v>
      </c>
      <c r="AC7">
        <v>104.5</v>
      </c>
      <c r="AD7">
        <v>104.4</v>
      </c>
      <c r="AE7">
        <v>105.3</v>
      </c>
    </row>
    <row r="8" spans="1:36" hidden="1" x14ac:dyDescent="0.3">
      <c r="A8" t="s">
        <v>30</v>
      </c>
      <c r="B8">
        <v>2013</v>
      </c>
      <c r="C8" t="s">
        <v>36</v>
      </c>
      <c r="D8">
        <v>110.2</v>
      </c>
      <c r="E8">
        <v>108.8</v>
      </c>
      <c r="F8">
        <v>109.9</v>
      </c>
      <c r="G8">
        <v>105.6</v>
      </c>
      <c r="H8">
        <v>106.2</v>
      </c>
      <c r="I8">
        <v>105.7</v>
      </c>
      <c r="J8">
        <v>101.4</v>
      </c>
      <c r="K8">
        <v>105.7</v>
      </c>
      <c r="L8">
        <v>105</v>
      </c>
      <c r="M8">
        <v>103.3</v>
      </c>
      <c r="N8">
        <v>105.6</v>
      </c>
      <c r="O8">
        <v>108.2</v>
      </c>
      <c r="Q8">
        <v>106.6</v>
      </c>
      <c r="R8">
        <v>106.5</v>
      </c>
      <c r="S8">
        <v>107.6</v>
      </c>
      <c r="T8">
        <v>106.8</v>
      </c>
      <c r="U8">
        <v>107.5</v>
      </c>
      <c r="V8" t="s">
        <v>32</v>
      </c>
      <c r="W8">
        <v>106.1</v>
      </c>
      <c r="X8">
        <v>105.6</v>
      </c>
      <c r="Y8">
        <v>104.7</v>
      </c>
      <c r="Z8">
        <v>104.6</v>
      </c>
      <c r="AA8">
        <v>104</v>
      </c>
      <c r="AB8">
        <v>104.3</v>
      </c>
      <c r="AC8">
        <v>104.3</v>
      </c>
      <c r="AD8">
        <v>104.6</v>
      </c>
      <c r="AE8">
        <v>106</v>
      </c>
    </row>
    <row r="9" spans="1:36" hidden="1" x14ac:dyDescent="0.3">
      <c r="A9" t="s">
        <v>33</v>
      </c>
      <c r="B9">
        <v>2013</v>
      </c>
      <c r="C9" t="s">
        <v>36</v>
      </c>
      <c r="D9">
        <v>113.9</v>
      </c>
      <c r="E9">
        <v>111.4</v>
      </c>
      <c r="F9">
        <v>113.2</v>
      </c>
      <c r="G9">
        <v>104.3</v>
      </c>
      <c r="H9">
        <v>102.7</v>
      </c>
      <c r="I9">
        <v>104.9</v>
      </c>
      <c r="J9">
        <v>103.8</v>
      </c>
      <c r="K9">
        <v>103.5</v>
      </c>
      <c r="L9">
        <v>102.6</v>
      </c>
      <c r="M9">
        <v>102.4</v>
      </c>
      <c r="N9">
        <v>107</v>
      </c>
      <c r="O9">
        <v>109.8</v>
      </c>
      <c r="Q9">
        <v>107.3</v>
      </c>
      <c r="R9">
        <v>106.8</v>
      </c>
      <c r="S9">
        <v>107.2</v>
      </c>
      <c r="T9">
        <v>106</v>
      </c>
      <c r="U9">
        <v>107</v>
      </c>
      <c r="V9">
        <v>100.4</v>
      </c>
      <c r="W9">
        <v>106</v>
      </c>
      <c r="X9">
        <v>105.7</v>
      </c>
      <c r="Y9">
        <v>105.2</v>
      </c>
      <c r="Z9">
        <v>105.5</v>
      </c>
      <c r="AA9">
        <v>103.5</v>
      </c>
      <c r="AB9">
        <v>103.8</v>
      </c>
      <c r="AC9">
        <v>104.2</v>
      </c>
      <c r="AD9">
        <v>104.9</v>
      </c>
      <c r="AE9">
        <v>105</v>
      </c>
    </row>
    <row r="10" spans="1:36" hidden="1" x14ac:dyDescent="0.3">
      <c r="A10" t="s">
        <v>34</v>
      </c>
      <c r="B10">
        <v>2013</v>
      </c>
      <c r="C10" t="s">
        <v>36</v>
      </c>
      <c r="D10">
        <v>111.4</v>
      </c>
      <c r="E10">
        <v>109.7</v>
      </c>
      <c r="F10">
        <v>111.2</v>
      </c>
      <c r="G10">
        <v>105.1</v>
      </c>
      <c r="H10">
        <v>104.9</v>
      </c>
      <c r="I10">
        <v>105.3</v>
      </c>
      <c r="J10">
        <v>102.2</v>
      </c>
      <c r="K10">
        <v>105</v>
      </c>
      <c r="L10">
        <v>104.2</v>
      </c>
      <c r="M10">
        <v>103</v>
      </c>
      <c r="N10">
        <v>106.2</v>
      </c>
      <c r="O10">
        <v>108.9</v>
      </c>
      <c r="Q10">
        <v>106.9</v>
      </c>
      <c r="R10">
        <v>106.6</v>
      </c>
      <c r="S10">
        <v>107.4</v>
      </c>
      <c r="T10">
        <v>106.5</v>
      </c>
      <c r="U10">
        <v>107.3</v>
      </c>
      <c r="V10">
        <v>100.4</v>
      </c>
      <c r="W10">
        <v>106.1</v>
      </c>
      <c r="X10">
        <v>105.6</v>
      </c>
      <c r="Y10">
        <v>104.9</v>
      </c>
      <c r="Z10">
        <v>105.1</v>
      </c>
      <c r="AA10">
        <v>103.7</v>
      </c>
      <c r="AB10">
        <v>104</v>
      </c>
      <c r="AC10">
        <v>104.3</v>
      </c>
      <c r="AD10">
        <v>104.7</v>
      </c>
      <c r="AE10">
        <v>105.5</v>
      </c>
    </row>
    <row r="11" spans="1:36" hidden="1" x14ac:dyDescent="0.3">
      <c r="A11" t="s">
        <v>30</v>
      </c>
      <c r="B11">
        <v>2013</v>
      </c>
      <c r="C11" t="s">
        <v>37</v>
      </c>
      <c r="D11">
        <v>110.2</v>
      </c>
      <c r="E11">
        <v>109.5</v>
      </c>
      <c r="F11">
        <v>106.9</v>
      </c>
      <c r="G11">
        <v>106.3</v>
      </c>
      <c r="H11">
        <v>105.7</v>
      </c>
      <c r="I11">
        <v>108.3</v>
      </c>
      <c r="J11">
        <v>103.4</v>
      </c>
      <c r="K11">
        <v>105.7</v>
      </c>
      <c r="L11">
        <v>104.2</v>
      </c>
      <c r="M11">
        <v>103.2</v>
      </c>
      <c r="N11">
        <v>106.5</v>
      </c>
      <c r="O11">
        <v>108.8</v>
      </c>
      <c r="Q11">
        <v>107.1</v>
      </c>
      <c r="R11">
        <v>107.1</v>
      </c>
      <c r="S11">
        <v>108.1</v>
      </c>
      <c r="T11">
        <v>107.4</v>
      </c>
      <c r="U11">
        <v>108</v>
      </c>
      <c r="V11" t="s">
        <v>32</v>
      </c>
      <c r="W11">
        <v>106.5</v>
      </c>
      <c r="X11">
        <v>106.1</v>
      </c>
      <c r="Y11">
        <v>105.1</v>
      </c>
      <c r="Z11">
        <v>104.4</v>
      </c>
      <c r="AA11">
        <v>104.5</v>
      </c>
      <c r="AB11">
        <v>104.8</v>
      </c>
      <c r="AC11">
        <v>102.7</v>
      </c>
      <c r="AD11">
        <v>104.6</v>
      </c>
      <c r="AE11">
        <v>106.4</v>
      </c>
    </row>
    <row r="12" spans="1:36" hidden="1" x14ac:dyDescent="0.3">
      <c r="A12" t="s">
        <v>33</v>
      </c>
      <c r="B12">
        <v>2013</v>
      </c>
      <c r="C12" t="s">
        <v>37</v>
      </c>
      <c r="D12">
        <v>114.6</v>
      </c>
      <c r="E12">
        <v>113.4</v>
      </c>
      <c r="F12">
        <v>106</v>
      </c>
      <c r="G12">
        <v>104.7</v>
      </c>
      <c r="H12">
        <v>102.1</v>
      </c>
      <c r="I12">
        <v>109.5</v>
      </c>
      <c r="J12">
        <v>109.7</v>
      </c>
      <c r="K12">
        <v>104.6</v>
      </c>
      <c r="L12">
        <v>102</v>
      </c>
      <c r="M12">
        <v>103.5</v>
      </c>
      <c r="N12">
        <v>108.2</v>
      </c>
      <c r="O12">
        <v>110.6</v>
      </c>
      <c r="Q12">
        <v>108.8</v>
      </c>
      <c r="R12">
        <v>108.5</v>
      </c>
      <c r="S12">
        <v>107.9</v>
      </c>
      <c r="T12">
        <v>106.4</v>
      </c>
      <c r="U12">
        <v>107.7</v>
      </c>
      <c r="V12">
        <v>100.5</v>
      </c>
      <c r="W12">
        <v>106.4</v>
      </c>
      <c r="X12">
        <v>106.5</v>
      </c>
      <c r="Y12">
        <v>105.7</v>
      </c>
      <c r="Z12">
        <v>105</v>
      </c>
      <c r="AA12">
        <v>104</v>
      </c>
      <c r="AB12">
        <v>105.2</v>
      </c>
      <c r="AC12">
        <v>103.2</v>
      </c>
      <c r="AD12">
        <v>105.1</v>
      </c>
      <c r="AE12">
        <v>105.7</v>
      </c>
    </row>
    <row r="13" spans="1:36" hidden="1" x14ac:dyDescent="0.3">
      <c r="A13" t="s">
        <v>34</v>
      </c>
      <c r="B13">
        <v>2013</v>
      </c>
      <c r="C13" t="s">
        <v>37</v>
      </c>
      <c r="D13">
        <v>111.6</v>
      </c>
      <c r="E13">
        <v>110.9</v>
      </c>
      <c r="F13">
        <v>106.6</v>
      </c>
      <c r="G13">
        <v>105.7</v>
      </c>
      <c r="H13">
        <v>104.4</v>
      </c>
      <c r="I13">
        <v>108.9</v>
      </c>
      <c r="J13">
        <v>105.5</v>
      </c>
      <c r="K13">
        <v>105.3</v>
      </c>
      <c r="L13">
        <v>103.5</v>
      </c>
      <c r="M13">
        <v>103.3</v>
      </c>
      <c r="N13">
        <v>107.2</v>
      </c>
      <c r="O13">
        <v>109.6</v>
      </c>
      <c r="Q13">
        <v>107.7</v>
      </c>
      <c r="R13">
        <v>107.5</v>
      </c>
      <c r="S13">
        <v>108</v>
      </c>
      <c r="T13">
        <v>107</v>
      </c>
      <c r="U13">
        <v>107.9</v>
      </c>
      <c r="V13">
        <v>100.5</v>
      </c>
      <c r="W13">
        <v>106.5</v>
      </c>
      <c r="X13">
        <v>106.3</v>
      </c>
      <c r="Y13">
        <v>105.3</v>
      </c>
      <c r="Z13">
        <v>104.7</v>
      </c>
      <c r="AA13">
        <v>104.2</v>
      </c>
      <c r="AB13">
        <v>105</v>
      </c>
      <c r="AC13">
        <v>102.9</v>
      </c>
      <c r="AD13">
        <v>104.8</v>
      </c>
      <c r="AE13">
        <v>106.1</v>
      </c>
    </row>
    <row r="14" spans="1:36" hidden="1" x14ac:dyDescent="0.3">
      <c r="A14" t="s">
        <v>30</v>
      </c>
      <c r="B14">
        <v>2013</v>
      </c>
      <c r="C14" t="s">
        <v>38</v>
      </c>
      <c r="D14">
        <v>110.9</v>
      </c>
      <c r="E14">
        <v>109.8</v>
      </c>
      <c r="F14">
        <v>105.9</v>
      </c>
      <c r="G14">
        <v>107.5</v>
      </c>
      <c r="H14">
        <v>105.3</v>
      </c>
      <c r="I14">
        <v>108.1</v>
      </c>
      <c r="J14">
        <v>107.3</v>
      </c>
      <c r="K14">
        <v>106.1</v>
      </c>
      <c r="L14">
        <v>103.7</v>
      </c>
      <c r="M14">
        <v>104</v>
      </c>
      <c r="N14">
        <v>107.4</v>
      </c>
      <c r="O14">
        <v>109.9</v>
      </c>
      <c r="Q14">
        <v>108.1</v>
      </c>
      <c r="R14">
        <v>108.1</v>
      </c>
      <c r="S14">
        <v>108.8</v>
      </c>
      <c r="T14">
        <v>107.9</v>
      </c>
      <c r="U14">
        <v>108.6</v>
      </c>
      <c r="V14" t="s">
        <v>32</v>
      </c>
      <c r="W14">
        <v>107.5</v>
      </c>
      <c r="X14">
        <v>106.8</v>
      </c>
      <c r="Y14">
        <v>105.7</v>
      </c>
      <c r="Z14">
        <v>104.1</v>
      </c>
      <c r="AA14">
        <v>105</v>
      </c>
      <c r="AB14">
        <v>105.5</v>
      </c>
      <c r="AC14">
        <v>102.1</v>
      </c>
      <c r="AD14">
        <v>104.8</v>
      </c>
      <c r="AE14">
        <v>107.2</v>
      </c>
    </row>
    <row r="15" spans="1:36" hidden="1" x14ac:dyDescent="0.3">
      <c r="A15" t="s">
        <v>33</v>
      </c>
      <c r="B15">
        <v>2013</v>
      </c>
      <c r="C15" t="s">
        <v>38</v>
      </c>
      <c r="D15">
        <v>115.4</v>
      </c>
      <c r="E15">
        <v>114.2</v>
      </c>
      <c r="F15">
        <v>102.7</v>
      </c>
      <c r="G15">
        <v>105.5</v>
      </c>
      <c r="H15">
        <v>101.5</v>
      </c>
      <c r="I15">
        <v>110.6</v>
      </c>
      <c r="J15">
        <v>123.7</v>
      </c>
      <c r="K15">
        <v>105.2</v>
      </c>
      <c r="L15">
        <v>101.9</v>
      </c>
      <c r="M15">
        <v>105</v>
      </c>
      <c r="N15">
        <v>109.1</v>
      </c>
      <c r="O15">
        <v>111.3</v>
      </c>
      <c r="Q15">
        <v>111.1</v>
      </c>
      <c r="R15">
        <v>109.8</v>
      </c>
      <c r="S15">
        <v>108.5</v>
      </c>
      <c r="T15">
        <v>106.7</v>
      </c>
      <c r="U15">
        <v>108.3</v>
      </c>
      <c r="V15">
        <v>100.5</v>
      </c>
      <c r="W15">
        <v>107.2</v>
      </c>
      <c r="X15">
        <v>107.1</v>
      </c>
      <c r="Y15">
        <v>106.2</v>
      </c>
      <c r="Z15">
        <v>103.9</v>
      </c>
      <c r="AA15">
        <v>104.6</v>
      </c>
      <c r="AB15">
        <v>105.7</v>
      </c>
      <c r="AC15">
        <v>102.6</v>
      </c>
      <c r="AD15">
        <v>104.9</v>
      </c>
      <c r="AE15">
        <v>106.6</v>
      </c>
    </row>
    <row r="16" spans="1:36" hidden="1" x14ac:dyDescent="0.3">
      <c r="A16" t="s">
        <v>34</v>
      </c>
      <c r="B16">
        <v>2013</v>
      </c>
      <c r="C16" t="s">
        <v>38</v>
      </c>
      <c r="D16">
        <v>112.3</v>
      </c>
      <c r="E16">
        <v>111.3</v>
      </c>
      <c r="F16">
        <v>104.7</v>
      </c>
      <c r="G16">
        <v>106.8</v>
      </c>
      <c r="H16">
        <v>103.9</v>
      </c>
      <c r="I16">
        <v>109.3</v>
      </c>
      <c r="J16">
        <v>112.9</v>
      </c>
      <c r="K16">
        <v>105.8</v>
      </c>
      <c r="L16">
        <v>103.1</v>
      </c>
      <c r="M16">
        <v>104.3</v>
      </c>
      <c r="N16">
        <v>108.1</v>
      </c>
      <c r="O16">
        <v>110.5</v>
      </c>
      <c r="Q16">
        <v>109.2</v>
      </c>
      <c r="R16">
        <v>108.6</v>
      </c>
      <c r="S16">
        <v>108.7</v>
      </c>
      <c r="T16">
        <v>107.4</v>
      </c>
      <c r="U16">
        <v>108.5</v>
      </c>
      <c r="V16">
        <v>100.5</v>
      </c>
      <c r="W16">
        <v>107.4</v>
      </c>
      <c r="X16">
        <v>106.9</v>
      </c>
      <c r="Y16">
        <v>105.9</v>
      </c>
      <c r="Z16">
        <v>104</v>
      </c>
      <c r="AA16">
        <v>104.8</v>
      </c>
      <c r="AB16">
        <v>105.6</v>
      </c>
      <c r="AC16">
        <v>102.3</v>
      </c>
      <c r="AD16">
        <v>104.8</v>
      </c>
      <c r="AE16">
        <v>106.9</v>
      </c>
    </row>
    <row r="17" spans="1:31" hidden="1" x14ac:dyDescent="0.3">
      <c r="A17" t="s">
        <v>30</v>
      </c>
      <c r="B17">
        <v>2013</v>
      </c>
      <c r="C17" t="s">
        <v>39</v>
      </c>
      <c r="D17">
        <v>112.3</v>
      </c>
      <c r="E17">
        <v>112.1</v>
      </c>
      <c r="F17">
        <v>108.1</v>
      </c>
      <c r="G17">
        <v>108.3</v>
      </c>
      <c r="H17">
        <v>105.9</v>
      </c>
      <c r="I17">
        <v>109.2</v>
      </c>
      <c r="J17">
        <v>118</v>
      </c>
      <c r="K17">
        <v>106.8</v>
      </c>
      <c r="L17">
        <v>104.1</v>
      </c>
      <c r="M17">
        <v>105.4</v>
      </c>
      <c r="N17">
        <v>108.2</v>
      </c>
      <c r="O17">
        <v>111</v>
      </c>
      <c r="Q17">
        <v>110.6</v>
      </c>
      <c r="R17">
        <v>109</v>
      </c>
      <c r="S17">
        <v>109.7</v>
      </c>
      <c r="T17">
        <v>108.8</v>
      </c>
      <c r="U17">
        <v>109.5</v>
      </c>
      <c r="V17" t="s">
        <v>32</v>
      </c>
      <c r="W17">
        <v>108.5</v>
      </c>
      <c r="X17">
        <v>107.5</v>
      </c>
      <c r="Y17">
        <v>106.3</v>
      </c>
      <c r="Z17">
        <v>105</v>
      </c>
      <c r="AA17">
        <v>105.6</v>
      </c>
      <c r="AB17">
        <v>106.5</v>
      </c>
      <c r="AC17">
        <v>102.5</v>
      </c>
      <c r="AD17">
        <v>105.5</v>
      </c>
      <c r="AE17">
        <v>108.9</v>
      </c>
    </row>
    <row r="18" spans="1:31" hidden="1" x14ac:dyDescent="0.3">
      <c r="A18" t="s">
        <v>33</v>
      </c>
      <c r="B18">
        <v>2013</v>
      </c>
      <c r="C18" t="s">
        <v>39</v>
      </c>
      <c r="D18">
        <v>117</v>
      </c>
      <c r="E18">
        <v>120.1</v>
      </c>
      <c r="F18">
        <v>112.5</v>
      </c>
      <c r="G18">
        <v>107.3</v>
      </c>
      <c r="H18">
        <v>101.3</v>
      </c>
      <c r="I18">
        <v>112.4</v>
      </c>
      <c r="J18">
        <v>143.6</v>
      </c>
      <c r="K18">
        <v>105.4</v>
      </c>
      <c r="L18">
        <v>101.4</v>
      </c>
      <c r="M18">
        <v>106.4</v>
      </c>
      <c r="N18">
        <v>110</v>
      </c>
      <c r="O18">
        <v>112.2</v>
      </c>
      <c r="Q18">
        <v>115</v>
      </c>
      <c r="R18">
        <v>110.9</v>
      </c>
      <c r="S18">
        <v>109.2</v>
      </c>
      <c r="T18">
        <v>107.2</v>
      </c>
      <c r="U18">
        <v>108.9</v>
      </c>
      <c r="V18">
        <v>106.6</v>
      </c>
      <c r="W18">
        <v>108</v>
      </c>
      <c r="X18">
        <v>107.7</v>
      </c>
      <c r="Y18">
        <v>106.5</v>
      </c>
      <c r="Z18">
        <v>105.2</v>
      </c>
      <c r="AA18">
        <v>105.2</v>
      </c>
      <c r="AB18">
        <v>108.1</v>
      </c>
      <c r="AC18">
        <v>103.3</v>
      </c>
      <c r="AD18">
        <v>106.1</v>
      </c>
      <c r="AE18">
        <v>109.7</v>
      </c>
    </row>
    <row r="19" spans="1:31" hidden="1" x14ac:dyDescent="0.3">
      <c r="A19" t="s">
        <v>34</v>
      </c>
      <c r="B19">
        <v>2013</v>
      </c>
      <c r="C19" t="s">
        <v>39</v>
      </c>
      <c r="D19">
        <v>113.8</v>
      </c>
      <c r="E19">
        <v>114.9</v>
      </c>
      <c r="F19">
        <v>109.8</v>
      </c>
      <c r="G19">
        <v>107.9</v>
      </c>
      <c r="H19">
        <v>104.2</v>
      </c>
      <c r="I19">
        <v>110.7</v>
      </c>
      <c r="J19">
        <v>126.7</v>
      </c>
      <c r="K19">
        <v>106.3</v>
      </c>
      <c r="L19">
        <v>103.2</v>
      </c>
      <c r="M19">
        <v>105.7</v>
      </c>
      <c r="N19">
        <v>109</v>
      </c>
      <c r="O19">
        <v>111.6</v>
      </c>
      <c r="Q19">
        <v>112.2</v>
      </c>
      <c r="R19">
        <v>109.5</v>
      </c>
      <c r="S19">
        <v>109.5</v>
      </c>
      <c r="T19">
        <v>108.1</v>
      </c>
      <c r="U19">
        <v>109.3</v>
      </c>
      <c r="V19">
        <v>106.6</v>
      </c>
      <c r="W19">
        <v>108.3</v>
      </c>
      <c r="X19">
        <v>107.6</v>
      </c>
      <c r="Y19">
        <v>106.4</v>
      </c>
      <c r="Z19">
        <v>105.1</v>
      </c>
      <c r="AA19">
        <v>105.4</v>
      </c>
      <c r="AB19">
        <v>107.4</v>
      </c>
      <c r="AC19">
        <v>102.8</v>
      </c>
      <c r="AD19">
        <v>105.8</v>
      </c>
      <c r="AE19">
        <v>109.3</v>
      </c>
    </row>
    <row r="20" spans="1:31"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Q20">
        <v>113.1</v>
      </c>
      <c r="R20">
        <v>109.8</v>
      </c>
      <c r="S20">
        <v>110.5</v>
      </c>
      <c r="T20">
        <v>109.5</v>
      </c>
      <c r="U20">
        <v>110.3</v>
      </c>
      <c r="V20" t="s">
        <v>32</v>
      </c>
      <c r="W20">
        <v>109.5</v>
      </c>
      <c r="X20">
        <v>108.3</v>
      </c>
      <c r="Y20">
        <v>106.9</v>
      </c>
      <c r="Z20">
        <v>106.8</v>
      </c>
      <c r="AA20">
        <v>106.4</v>
      </c>
      <c r="AB20">
        <v>107.8</v>
      </c>
      <c r="AC20">
        <v>102.5</v>
      </c>
      <c r="AD20">
        <v>106.5</v>
      </c>
      <c r="AE20">
        <v>110.7</v>
      </c>
    </row>
    <row r="21" spans="1:31" hidden="1" x14ac:dyDescent="0.3">
      <c r="A21" t="s">
        <v>33</v>
      </c>
      <c r="B21">
        <v>2013</v>
      </c>
      <c r="C21" t="s">
        <v>40</v>
      </c>
      <c r="D21">
        <v>117.8</v>
      </c>
      <c r="E21">
        <v>119.2</v>
      </c>
      <c r="F21">
        <v>114</v>
      </c>
      <c r="G21">
        <v>108.3</v>
      </c>
      <c r="H21">
        <v>101.1</v>
      </c>
      <c r="I21">
        <v>113.2</v>
      </c>
      <c r="J21">
        <v>160.9</v>
      </c>
      <c r="K21">
        <v>105.1</v>
      </c>
      <c r="L21">
        <v>101.3</v>
      </c>
      <c r="M21">
        <v>107.5</v>
      </c>
      <c r="N21">
        <v>110.4</v>
      </c>
      <c r="O21">
        <v>113.1</v>
      </c>
      <c r="Q21">
        <v>117.5</v>
      </c>
      <c r="R21">
        <v>111.7</v>
      </c>
      <c r="S21">
        <v>109.8</v>
      </c>
      <c r="T21">
        <v>107.8</v>
      </c>
      <c r="U21">
        <v>109.5</v>
      </c>
      <c r="V21">
        <v>107.7</v>
      </c>
      <c r="W21">
        <v>108.6</v>
      </c>
      <c r="X21">
        <v>108.1</v>
      </c>
      <c r="Y21">
        <v>107.1</v>
      </c>
      <c r="Z21">
        <v>107.3</v>
      </c>
      <c r="AA21">
        <v>105.9</v>
      </c>
      <c r="AB21">
        <v>110.1</v>
      </c>
      <c r="AC21">
        <v>103.2</v>
      </c>
      <c r="AD21">
        <v>107.3</v>
      </c>
      <c r="AE21">
        <v>111.4</v>
      </c>
    </row>
    <row r="22" spans="1:31" hidden="1" x14ac:dyDescent="0.3">
      <c r="A22" t="s">
        <v>34</v>
      </c>
      <c r="B22">
        <v>2013</v>
      </c>
      <c r="C22" t="s">
        <v>40</v>
      </c>
      <c r="D22">
        <v>114.8</v>
      </c>
      <c r="E22">
        <v>116.4</v>
      </c>
      <c r="F22">
        <v>111.9</v>
      </c>
      <c r="G22">
        <v>108.9</v>
      </c>
      <c r="H22">
        <v>104.3</v>
      </c>
      <c r="I22">
        <v>111.7</v>
      </c>
      <c r="J22">
        <v>140</v>
      </c>
      <c r="K22">
        <v>106.4</v>
      </c>
      <c r="L22">
        <v>103.3</v>
      </c>
      <c r="M22">
        <v>106.8</v>
      </c>
      <c r="N22">
        <v>109.6</v>
      </c>
      <c r="O22">
        <v>112.6</v>
      </c>
      <c r="Q22">
        <v>114.7</v>
      </c>
      <c r="R22">
        <v>110.3</v>
      </c>
      <c r="S22">
        <v>110.2</v>
      </c>
      <c r="T22">
        <v>108.8</v>
      </c>
      <c r="U22">
        <v>110</v>
      </c>
      <c r="V22">
        <v>107.7</v>
      </c>
      <c r="W22">
        <v>109.2</v>
      </c>
      <c r="X22">
        <v>108.2</v>
      </c>
      <c r="Y22">
        <v>107</v>
      </c>
      <c r="Z22">
        <v>107.1</v>
      </c>
      <c r="AA22">
        <v>106.1</v>
      </c>
      <c r="AB22">
        <v>109.1</v>
      </c>
      <c r="AC22">
        <v>102.8</v>
      </c>
      <c r="AD22">
        <v>106.9</v>
      </c>
      <c r="AE22">
        <v>111</v>
      </c>
    </row>
    <row r="23" spans="1:31" hidden="1" x14ac:dyDescent="0.3">
      <c r="A23" t="s">
        <v>30</v>
      </c>
      <c r="B23">
        <v>2013</v>
      </c>
      <c r="C23" t="s">
        <v>41</v>
      </c>
      <c r="D23">
        <v>114.3</v>
      </c>
      <c r="E23">
        <v>115.4</v>
      </c>
      <c r="F23">
        <v>111.1</v>
      </c>
      <c r="G23">
        <v>110</v>
      </c>
      <c r="H23">
        <v>106.4</v>
      </c>
      <c r="I23">
        <v>110.8</v>
      </c>
      <c r="J23">
        <v>138.9</v>
      </c>
      <c r="K23">
        <v>107.4</v>
      </c>
      <c r="L23">
        <v>104.1</v>
      </c>
      <c r="M23">
        <v>106.9</v>
      </c>
      <c r="N23">
        <v>109.7</v>
      </c>
      <c r="O23">
        <v>112.6</v>
      </c>
      <c r="Q23">
        <v>114.9</v>
      </c>
      <c r="R23">
        <v>110.7</v>
      </c>
      <c r="S23">
        <v>111.3</v>
      </c>
      <c r="T23">
        <v>110.2</v>
      </c>
      <c r="U23">
        <v>111.1</v>
      </c>
      <c r="V23" t="s">
        <v>32</v>
      </c>
      <c r="W23">
        <v>109.9</v>
      </c>
      <c r="X23">
        <v>108.7</v>
      </c>
      <c r="Y23">
        <v>107.5</v>
      </c>
      <c r="Z23">
        <v>107.8</v>
      </c>
      <c r="AA23">
        <v>106.8</v>
      </c>
      <c r="AB23">
        <v>108.7</v>
      </c>
      <c r="AC23">
        <v>105</v>
      </c>
      <c r="AD23">
        <v>107.5</v>
      </c>
      <c r="AE23">
        <v>112.1</v>
      </c>
    </row>
    <row r="24" spans="1:31" hidden="1" x14ac:dyDescent="0.3">
      <c r="A24" t="s">
        <v>33</v>
      </c>
      <c r="B24">
        <v>2013</v>
      </c>
      <c r="C24" t="s">
        <v>41</v>
      </c>
      <c r="D24">
        <v>118.3</v>
      </c>
      <c r="E24">
        <v>120.4</v>
      </c>
      <c r="F24">
        <v>112.7</v>
      </c>
      <c r="G24">
        <v>108.9</v>
      </c>
      <c r="H24">
        <v>101.1</v>
      </c>
      <c r="I24">
        <v>108.7</v>
      </c>
      <c r="J24">
        <v>177</v>
      </c>
      <c r="K24">
        <v>104.7</v>
      </c>
      <c r="L24">
        <v>101</v>
      </c>
      <c r="M24">
        <v>108.5</v>
      </c>
      <c r="N24">
        <v>110.9</v>
      </c>
      <c r="O24">
        <v>114.3</v>
      </c>
      <c r="Q24">
        <v>119.6</v>
      </c>
      <c r="R24">
        <v>112.4</v>
      </c>
      <c r="S24">
        <v>110.6</v>
      </c>
      <c r="T24">
        <v>108.3</v>
      </c>
      <c r="U24">
        <v>110.2</v>
      </c>
      <c r="V24">
        <v>108.9</v>
      </c>
      <c r="W24">
        <v>109.3</v>
      </c>
      <c r="X24">
        <v>108.7</v>
      </c>
      <c r="Y24">
        <v>107.6</v>
      </c>
      <c r="Z24">
        <v>108.1</v>
      </c>
      <c r="AA24">
        <v>106.5</v>
      </c>
      <c r="AB24">
        <v>110.8</v>
      </c>
      <c r="AC24">
        <v>106</v>
      </c>
      <c r="AD24">
        <v>108.3</v>
      </c>
      <c r="AE24">
        <v>112.7</v>
      </c>
    </row>
    <row r="25" spans="1:31"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Q25">
        <v>116.6</v>
      </c>
      <c r="R25">
        <v>111.2</v>
      </c>
      <c r="S25">
        <v>111</v>
      </c>
      <c r="T25">
        <v>109.4</v>
      </c>
      <c r="U25">
        <v>110.7</v>
      </c>
      <c r="V25">
        <v>108.9</v>
      </c>
      <c r="W25">
        <v>109.7</v>
      </c>
      <c r="X25">
        <v>108.7</v>
      </c>
      <c r="Y25">
        <v>107.5</v>
      </c>
      <c r="Z25">
        <v>108</v>
      </c>
      <c r="AA25">
        <v>106.6</v>
      </c>
      <c r="AB25">
        <v>109.9</v>
      </c>
      <c r="AC25">
        <v>105.4</v>
      </c>
      <c r="AD25">
        <v>107.9</v>
      </c>
      <c r="AE25">
        <v>112.4</v>
      </c>
    </row>
    <row r="26" spans="1:31" hidden="1" x14ac:dyDescent="0.3">
      <c r="A26" t="s">
        <v>30</v>
      </c>
      <c r="B26">
        <v>2013</v>
      </c>
      <c r="C26" t="s">
        <v>42</v>
      </c>
      <c r="D26">
        <v>115.4</v>
      </c>
      <c r="E26">
        <v>115.7</v>
      </c>
      <c r="F26">
        <v>111.7</v>
      </c>
      <c r="G26">
        <v>111</v>
      </c>
      <c r="H26">
        <v>107.4</v>
      </c>
      <c r="I26">
        <v>110.9</v>
      </c>
      <c r="J26">
        <v>154</v>
      </c>
      <c r="K26">
        <v>108.1</v>
      </c>
      <c r="L26">
        <v>104.2</v>
      </c>
      <c r="M26">
        <v>107.9</v>
      </c>
      <c r="N26">
        <v>110.4</v>
      </c>
      <c r="O26">
        <v>114</v>
      </c>
      <c r="Q26">
        <v>117.8</v>
      </c>
      <c r="R26">
        <v>111.7</v>
      </c>
      <c r="S26">
        <v>112.7</v>
      </c>
      <c r="T26">
        <v>111.4</v>
      </c>
      <c r="U26">
        <v>112.5</v>
      </c>
      <c r="V26" t="s">
        <v>32</v>
      </c>
      <c r="W26">
        <v>111.1</v>
      </c>
      <c r="X26">
        <v>109.6</v>
      </c>
      <c r="Y26">
        <v>108.3</v>
      </c>
      <c r="Z26">
        <v>109.3</v>
      </c>
      <c r="AA26">
        <v>107.7</v>
      </c>
      <c r="AB26">
        <v>109.8</v>
      </c>
      <c r="AC26">
        <v>106.7</v>
      </c>
      <c r="AD26">
        <v>108.7</v>
      </c>
      <c r="AE26">
        <v>114.2</v>
      </c>
    </row>
    <row r="27" spans="1:31" hidden="1" x14ac:dyDescent="0.3">
      <c r="A27" t="s">
        <v>33</v>
      </c>
      <c r="B27">
        <v>2013</v>
      </c>
      <c r="C27" t="s">
        <v>42</v>
      </c>
      <c r="D27">
        <v>118.6</v>
      </c>
      <c r="E27">
        <v>119.1</v>
      </c>
      <c r="F27">
        <v>113.2</v>
      </c>
      <c r="G27">
        <v>109.6</v>
      </c>
      <c r="H27">
        <v>101.7</v>
      </c>
      <c r="I27">
        <v>103.2</v>
      </c>
      <c r="J27">
        <v>174.3</v>
      </c>
      <c r="K27">
        <v>105.1</v>
      </c>
      <c r="L27">
        <v>100.8</v>
      </c>
      <c r="M27">
        <v>109.1</v>
      </c>
      <c r="N27">
        <v>111.1</v>
      </c>
      <c r="O27">
        <v>115.4</v>
      </c>
      <c r="Q27">
        <v>119.2</v>
      </c>
      <c r="R27">
        <v>112.9</v>
      </c>
      <c r="S27">
        <v>111.4</v>
      </c>
      <c r="T27">
        <v>109</v>
      </c>
      <c r="U27">
        <v>111.1</v>
      </c>
      <c r="V27">
        <v>109.7</v>
      </c>
      <c r="W27">
        <v>109.5</v>
      </c>
      <c r="X27">
        <v>109.6</v>
      </c>
      <c r="Y27">
        <v>107.9</v>
      </c>
      <c r="Z27">
        <v>110.4</v>
      </c>
      <c r="AA27">
        <v>107.4</v>
      </c>
      <c r="AB27">
        <v>111.2</v>
      </c>
      <c r="AC27">
        <v>106.9</v>
      </c>
      <c r="AD27">
        <v>109.4</v>
      </c>
      <c r="AE27">
        <v>113.2</v>
      </c>
    </row>
    <row r="28" spans="1:31" hidden="1" x14ac:dyDescent="0.3">
      <c r="A28" t="s">
        <v>34</v>
      </c>
      <c r="B28">
        <v>2013</v>
      </c>
      <c r="C28" t="s">
        <v>42</v>
      </c>
      <c r="D28">
        <v>116.4</v>
      </c>
      <c r="E28">
        <v>116.9</v>
      </c>
      <c r="F28">
        <v>112.3</v>
      </c>
      <c r="G28">
        <v>110.5</v>
      </c>
      <c r="H28">
        <v>105.3</v>
      </c>
      <c r="I28">
        <v>107.3</v>
      </c>
      <c r="J28">
        <v>160.9</v>
      </c>
      <c r="K28">
        <v>107.1</v>
      </c>
      <c r="L28">
        <v>103.1</v>
      </c>
      <c r="M28">
        <v>108.3</v>
      </c>
      <c r="N28">
        <v>110.7</v>
      </c>
      <c r="O28">
        <v>114.6</v>
      </c>
      <c r="Q28">
        <v>118.3</v>
      </c>
      <c r="R28">
        <v>112</v>
      </c>
      <c r="S28">
        <v>112.2</v>
      </c>
      <c r="T28">
        <v>110.4</v>
      </c>
      <c r="U28">
        <v>111.9</v>
      </c>
      <c r="V28">
        <v>109.7</v>
      </c>
      <c r="W28">
        <v>110.5</v>
      </c>
      <c r="X28">
        <v>109.6</v>
      </c>
      <c r="Y28">
        <v>108.1</v>
      </c>
      <c r="Z28">
        <v>109.9</v>
      </c>
      <c r="AA28">
        <v>107.5</v>
      </c>
      <c r="AB28">
        <v>110.6</v>
      </c>
      <c r="AC28">
        <v>106.8</v>
      </c>
      <c r="AD28">
        <v>109</v>
      </c>
      <c r="AE28">
        <v>113.7</v>
      </c>
    </row>
    <row r="29" spans="1:31" hidden="1" x14ac:dyDescent="0.3">
      <c r="A29" t="s">
        <v>30</v>
      </c>
      <c r="B29">
        <v>2013</v>
      </c>
      <c r="C29" t="s">
        <v>43</v>
      </c>
      <c r="D29">
        <v>116.3</v>
      </c>
      <c r="E29">
        <v>115.4</v>
      </c>
      <c r="F29">
        <v>112.6</v>
      </c>
      <c r="G29">
        <v>111.7</v>
      </c>
      <c r="H29">
        <v>107.7</v>
      </c>
      <c r="I29">
        <v>113.2</v>
      </c>
      <c r="J29">
        <v>164.9</v>
      </c>
      <c r="K29">
        <v>108.3</v>
      </c>
      <c r="L29">
        <v>103.9</v>
      </c>
      <c r="M29">
        <v>108.2</v>
      </c>
      <c r="N29">
        <v>111.1</v>
      </c>
      <c r="O29">
        <v>114.9</v>
      </c>
      <c r="Q29">
        <v>119.8</v>
      </c>
      <c r="R29">
        <v>112.2</v>
      </c>
      <c r="S29">
        <v>113.6</v>
      </c>
      <c r="T29">
        <v>112.3</v>
      </c>
      <c r="U29">
        <v>113.4</v>
      </c>
      <c r="V29" t="s">
        <v>32</v>
      </c>
      <c r="W29">
        <v>111.6</v>
      </c>
      <c r="X29">
        <v>110.4</v>
      </c>
      <c r="Y29">
        <v>108.9</v>
      </c>
      <c r="Z29">
        <v>109.3</v>
      </c>
      <c r="AA29">
        <v>108.3</v>
      </c>
      <c r="AB29">
        <v>110.2</v>
      </c>
      <c r="AC29">
        <v>107.5</v>
      </c>
      <c r="AD29">
        <v>109.1</v>
      </c>
      <c r="AE29">
        <v>115.5</v>
      </c>
    </row>
    <row r="30" spans="1:31" hidden="1" x14ac:dyDescent="0.3">
      <c r="A30" t="s">
        <v>33</v>
      </c>
      <c r="B30">
        <v>2013</v>
      </c>
      <c r="C30" t="s">
        <v>43</v>
      </c>
      <c r="D30">
        <v>118.9</v>
      </c>
      <c r="E30">
        <v>118.1</v>
      </c>
      <c r="F30">
        <v>114.5</v>
      </c>
      <c r="G30">
        <v>110.4</v>
      </c>
      <c r="H30">
        <v>102.3</v>
      </c>
      <c r="I30">
        <v>106.2</v>
      </c>
      <c r="J30">
        <v>183.5</v>
      </c>
      <c r="K30">
        <v>105.3</v>
      </c>
      <c r="L30">
        <v>100.2</v>
      </c>
      <c r="M30">
        <v>109.6</v>
      </c>
      <c r="N30">
        <v>111.4</v>
      </c>
      <c r="O30">
        <v>116</v>
      </c>
      <c r="Q30">
        <v>120.8</v>
      </c>
      <c r="R30">
        <v>113.5</v>
      </c>
      <c r="S30">
        <v>112.5</v>
      </c>
      <c r="T30">
        <v>109.7</v>
      </c>
      <c r="U30">
        <v>112</v>
      </c>
      <c r="V30">
        <v>110.5</v>
      </c>
      <c r="W30">
        <v>109.7</v>
      </c>
      <c r="X30">
        <v>110.2</v>
      </c>
      <c r="Y30">
        <v>108.2</v>
      </c>
      <c r="Z30">
        <v>109.7</v>
      </c>
      <c r="AA30">
        <v>108</v>
      </c>
      <c r="AB30">
        <v>111.3</v>
      </c>
      <c r="AC30">
        <v>107.3</v>
      </c>
      <c r="AD30">
        <v>109.4</v>
      </c>
      <c r="AE30">
        <v>114</v>
      </c>
    </row>
    <row r="31" spans="1:31" hidden="1" x14ac:dyDescent="0.3">
      <c r="A31" t="s">
        <v>34</v>
      </c>
      <c r="B31">
        <v>2013</v>
      </c>
      <c r="C31" t="s">
        <v>43</v>
      </c>
      <c r="D31">
        <v>117.1</v>
      </c>
      <c r="E31">
        <v>116.3</v>
      </c>
      <c r="F31">
        <v>113.3</v>
      </c>
      <c r="G31">
        <v>111.2</v>
      </c>
      <c r="H31">
        <v>105.7</v>
      </c>
      <c r="I31">
        <v>109.9</v>
      </c>
      <c r="J31">
        <v>171.2</v>
      </c>
      <c r="K31">
        <v>107.3</v>
      </c>
      <c r="L31">
        <v>102.7</v>
      </c>
      <c r="M31">
        <v>108.7</v>
      </c>
      <c r="N31">
        <v>111.2</v>
      </c>
      <c r="O31">
        <v>115.4</v>
      </c>
      <c r="Q31">
        <v>120.2</v>
      </c>
      <c r="R31">
        <v>112.5</v>
      </c>
      <c r="S31">
        <v>113.2</v>
      </c>
      <c r="T31">
        <v>111.2</v>
      </c>
      <c r="U31">
        <v>112.8</v>
      </c>
      <c r="V31">
        <v>110.5</v>
      </c>
      <c r="W31">
        <v>110.9</v>
      </c>
      <c r="X31">
        <v>110.3</v>
      </c>
      <c r="Y31">
        <v>108.6</v>
      </c>
      <c r="Z31">
        <v>109.5</v>
      </c>
      <c r="AA31">
        <v>108.1</v>
      </c>
      <c r="AB31">
        <v>110.8</v>
      </c>
      <c r="AC31">
        <v>107.4</v>
      </c>
      <c r="AD31">
        <v>109.2</v>
      </c>
      <c r="AE31">
        <v>114.8</v>
      </c>
    </row>
    <row r="32" spans="1:31" hidden="1" x14ac:dyDescent="0.3">
      <c r="A32" t="s">
        <v>30</v>
      </c>
      <c r="B32">
        <v>2013</v>
      </c>
      <c r="C32" t="s">
        <v>44</v>
      </c>
      <c r="D32">
        <v>117.3</v>
      </c>
      <c r="E32">
        <v>114.9</v>
      </c>
      <c r="F32">
        <v>116.2</v>
      </c>
      <c r="G32">
        <v>112.8</v>
      </c>
      <c r="H32">
        <v>108.9</v>
      </c>
      <c r="I32">
        <v>116.6</v>
      </c>
      <c r="J32">
        <v>178.1</v>
      </c>
      <c r="K32">
        <v>109.1</v>
      </c>
      <c r="L32">
        <v>103.6</v>
      </c>
      <c r="M32">
        <v>109</v>
      </c>
      <c r="N32">
        <v>111.8</v>
      </c>
      <c r="O32">
        <v>116</v>
      </c>
      <c r="Q32">
        <v>122.5</v>
      </c>
      <c r="R32">
        <v>112.8</v>
      </c>
      <c r="S32">
        <v>114.6</v>
      </c>
      <c r="T32">
        <v>113.1</v>
      </c>
      <c r="U32">
        <v>114.4</v>
      </c>
      <c r="V32" t="s">
        <v>32</v>
      </c>
      <c r="W32">
        <v>112.6</v>
      </c>
      <c r="X32">
        <v>111.3</v>
      </c>
      <c r="Y32">
        <v>109.7</v>
      </c>
      <c r="Z32">
        <v>109.6</v>
      </c>
      <c r="AA32">
        <v>108.7</v>
      </c>
      <c r="AB32">
        <v>111</v>
      </c>
      <c r="AC32">
        <v>108.2</v>
      </c>
      <c r="AD32">
        <v>109.8</v>
      </c>
      <c r="AE32">
        <v>117.4</v>
      </c>
    </row>
    <row r="33" spans="1:31" hidden="1" x14ac:dyDescent="0.3">
      <c r="A33" t="s">
        <v>33</v>
      </c>
      <c r="B33">
        <v>2013</v>
      </c>
      <c r="C33" t="s">
        <v>45</v>
      </c>
      <c r="D33">
        <v>119.8</v>
      </c>
      <c r="E33">
        <v>116.3</v>
      </c>
      <c r="F33">
        <v>122.6</v>
      </c>
      <c r="G33">
        <v>112</v>
      </c>
      <c r="H33">
        <v>103.2</v>
      </c>
      <c r="I33">
        <v>110</v>
      </c>
      <c r="J33">
        <v>192.8</v>
      </c>
      <c r="K33">
        <v>106.3</v>
      </c>
      <c r="L33">
        <v>99.5</v>
      </c>
      <c r="M33">
        <v>110.3</v>
      </c>
      <c r="N33">
        <v>111.8</v>
      </c>
      <c r="O33">
        <v>117.1</v>
      </c>
      <c r="Q33">
        <v>122.9</v>
      </c>
      <c r="R33">
        <v>114.1</v>
      </c>
      <c r="S33">
        <v>113.5</v>
      </c>
      <c r="T33">
        <v>110.3</v>
      </c>
      <c r="U33">
        <v>113</v>
      </c>
      <c r="V33">
        <v>111.1</v>
      </c>
      <c r="W33">
        <v>110</v>
      </c>
      <c r="X33">
        <v>110.9</v>
      </c>
      <c r="Y33">
        <v>108.6</v>
      </c>
      <c r="Z33">
        <v>109.5</v>
      </c>
      <c r="AA33">
        <v>108.5</v>
      </c>
      <c r="AB33">
        <v>111.3</v>
      </c>
      <c r="AC33">
        <v>107.9</v>
      </c>
      <c r="AD33">
        <v>109.6</v>
      </c>
      <c r="AE33">
        <v>115</v>
      </c>
    </row>
    <row r="34" spans="1:31" hidden="1" x14ac:dyDescent="0.3">
      <c r="A34" t="s">
        <v>34</v>
      </c>
      <c r="B34">
        <v>2013</v>
      </c>
      <c r="C34" t="s">
        <v>45</v>
      </c>
      <c r="D34">
        <v>118.1</v>
      </c>
      <c r="E34">
        <v>115.4</v>
      </c>
      <c r="F34">
        <v>118.7</v>
      </c>
      <c r="G34">
        <v>112.5</v>
      </c>
      <c r="H34">
        <v>106.8</v>
      </c>
      <c r="I34">
        <v>113.5</v>
      </c>
      <c r="J34">
        <v>183.1</v>
      </c>
      <c r="K34">
        <v>108.2</v>
      </c>
      <c r="L34">
        <v>102.2</v>
      </c>
      <c r="M34">
        <v>109.4</v>
      </c>
      <c r="N34">
        <v>111.8</v>
      </c>
      <c r="O34">
        <v>116.5</v>
      </c>
      <c r="Q34">
        <v>122.6</v>
      </c>
      <c r="R34">
        <v>113.1</v>
      </c>
      <c r="S34">
        <v>114.2</v>
      </c>
      <c r="T34">
        <v>111.9</v>
      </c>
      <c r="U34">
        <v>113.8</v>
      </c>
      <c r="V34">
        <v>111.1</v>
      </c>
      <c r="W34">
        <v>111.6</v>
      </c>
      <c r="X34">
        <v>111.1</v>
      </c>
      <c r="Y34">
        <v>109.3</v>
      </c>
      <c r="Z34">
        <v>109.5</v>
      </c>
      <c r="AA34">
        <v>108.6</v>
      </c>
      <c r="AB34">
        <v>111.2</v>
      </c>
      <c r="AC34">
        <v>108.1</v>
      </c>
      <c r="AD34">
        <v>109.7</v>
      </c>
      <c r="AE34">
        <v>116.3</v>
      </c>
    </row>
    <row r="35" spans="1:31"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Q35">
        <v>118.7</v>
      </c>
      <c r="R35">
        <v>113.6</v>
      </c>
      <c r="S35">
        <v>115.8</v>
      </c>
      <c r="T35">
        <v>114</v>
      </c>
      <c r="U35">
        <v>115.5</v>
      </c>
      <c r="V35" t="s">
        <v>32</v>
      </c>
      <c r="W35">
        <v>112.8</v>
      </c>
      <c r="X35">
        <v>112.1</v>
      </c>
      <c r="Y35">
        <v>110.1</v>
      </c>
      <c r="Z35">
        <v>109.9</v>
      </c>
      <c r="AA35">
        <v>109.2</v>
      </c>
      <c r="AB35">
        <v>111.6</v>
      </c>
      <c r="AC35">
        <v>108.1</v>
      </c>
      <c r="AD35">
        <v>110.1</v>
      </c>
      <c r="AE35">
        <v>115.5</v>
      </c>
    </row>
    <row r="36" spans="1:31"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Q36">
        <v>117.8</v>
      </c>
      <c r="R36">
        <v>115</v>
      </c>
      <c r="S36">
        <v>114.2</v>
      </c>
      <c r="T36">
        <v>110.9</v>
      </c>
      <c r="U36">
        <v>113.7</v>
      </c>
      <c r="V36">
        <v>110.7</v>
      </c>
      <c r="W36">
        <v>110.4</v>
      </c>
      <c r="X36">
        <v>111.3</v>
      </c>
      <c r="Y36">
        <v>109</v>
      </c>
      <c r="Z36">
        <v>109.7</v>
      </c>
      <c r="AA36">
        <v>108.9</v>
      </c>
      <c r="AB36">
        <v>111.4</v>
      </c>
      <c r="AC36">
        <v>107.7</v>
      </c>
      <c r="AD36">
        <v>109.8</v>
      </c>
      <c r="AE36">
        <v>113.3</v>
      </c>
    </row>
    <row r="37" spans="1:31" hidden="1" x14ac:dyDescent="0.3">
      <c r="A37" t="s">
        <v>34</v>
      </c>
      <c r="B37">
        <v>2013</v>
      </c>
      <c r="C37" t="s">
        <v>46</v>
      </c>
      <c r="D37">
        <v>119.1</v>
      </c>
      <c r="E37">
        <v>116.7</v>
      </c>
      <c r="F37">
        <v>123.5</v>
      </c>
      <c r="G37">
        <v>113.4</v>
      </c>
      <c r="H37">
        <v>107.3</v>
      </c>
      <c r="I37">
        <v>113.3</v>
      </c>
      <c r="J37">
        <v>145.4</v>
      </c>
      <c r="K37">
        <v>108.7</v>
      </c>
      <c r="L37">
        <v>101.5</v>
      </c>
      <c r="M37">
        <v>110.5</v>
      </c>
      <c r="N37">
        <v>112.1</v>
      </c>
      <c r="O37">
        <v>117.4</v>
      </c>
      <c r="Q37">
        <v>118.4</v>
      </c>
      <c r="R37">
        <v>114</v>
      </c>
      <c r="S37">
        <v>115.2</v>
      </c>
      <c r="T37">
        <v>112.7</v>
      </c>
      <c r="U37">
        <v>114.8</v>
      </c>
      <c r="V37">
        <v>110.7</v>
      </c>
      <c r="W37">
        <v>111.9</v>
      </c>
      <c r="X37">
        <v>111.7</v>
      </c>
      <c r="Y37">
        <v>109.7</v>
      </c>
      <c r="Z37">
        <v>109.8</v>
      </c>
      <c r="AA37">
        <v>109</v>
      </c>
      <c r="AB37">
        <v>111.5</v>
      </c>
      <c r="AC37">
        <v>107.9</v>
      </c>
      <c r="AD37">
        <v>110</v>
      </c>
      <c r="AE37">
        <v>114.5</v>
      </c>
    </row>
    <row r="38" spans="1:31" hidden="1" x14ac:dyDescent="0.3">
      <c r="A38" t="s">
        <v>30</v>
      </c>
      <c r="B38">
        <v>2014</v>
      </c>
      <c r="C38" t="s">
        <v>31</v>
      </c>
      <c r="D38">
        <v>118.9</v>
      </c>
      <c r="E38">
        <v>117.1</v>
      </c>
      <c r="F38">
        <v>120.5</v>
      </c>
      <c r="G38">
        <v>114.4</v>
      </c>
      <c r="H38">
        <v>109</v>
      </c>
      <c r="I38">
        <v>115.5</v>
      </c>
      <c r="J38">
        <v>123.9</v>
      </c>
      <c r="K38">
        <v>109.6</v>
      </c>
      <c r="L38">
        <v>101.8</v>
      </c>
      <c r="M38">
        <v>110.2</v>
      </c>
      <c r="N38">
        <v>112.4</v>
      </c>
      <c r="O38">
        <v>117.3</v>
      </c>
      <c r="Q38">
        <v>116</v>
      </c>
      <c r="R38">
        <v>114</v>
      </c>
      <c r="S38">
        <v>116.5</v>
      </c>
      <c r="T38">
        <v>114.5</v>
      </c>
      <c r="U38">
        <v>116.2</v>
      </c>
      <c r="V38" t="s">
        <v>32</v>
      </c>
      <c r="W38">
        <v>113</v>
      </c>
      <c r="X38">
        <v>112.6</v>
      </c>
      <c r="Y38">
        <v>110.6</v>
      </c>
      <c r="Z38">
        <v>110.5</v>
      </c>
      <c r="AA38">
        <v>109.6</v>
      </c>
      <c r="AB38">
        <v>111.8</v>
      </c>
      <c r="AC38">
        <v>108.3</v>
      </c>
      <c r="AD38">
        <v>110.6</v>
      </c>
      <c r="AE38">
        <v>114.2</v>
      </c>
    </row>
    <row r="39" spans="1:31" hidden="1" x14ac:dyDescent="0.3">
      <c r="A39" t="s">
        <v>33</v>
      </c>
      <c r="B39">
        <v>2014</v>
      </c>
      <c r="C39" t="s">
        <v>31</v>
      </c>
      <c r="D39">
        <v>121.2</v>
      </c>
      <c r="E39">
        <v>122</v>
      </c>
      <c r="F39">
        <v>129.9</v>
      </c>
      <c r="G39">
        <v>113.6</v>
      </c>
      <c r="H39">
        <v>102.9</v>
      </c>
      <c r="I39">
        <v>112.1</v>
      </c>
      <c r="J39">
        <v>118.9</v>
      </c>
      <c r="K39">
        <v>107.5</v>
      </c>
      <c r="L39">
        <v>96.9</v>
      </c>
      <c r="M39">
        <v>112.7</v>
      </c>
      <c r="N39">
        <v>112.1</v>
      </c>
      <c r="O39">
        <v>119</v>
      </c>
      <c r="Q39">
        <v>115.5</v>
      </c>
      <c r="R39">
        <v>115.7</v>
      </c>
      <c r="S39">
        <v>114.8</v>
      </c>
      <c r="T39">
        <v>111.3</v>
      </c>
      <c r="U39">
        <v>114.3</v>
      </c>
      <c r="V39">
        <v>111.6</v>
      </c>
      <c r="W39">
        <v>111</v>
      </c>
      <c r="X39">
        <v>111.9</v>
      </c>
      <c r="Y39">
        <v>109.7</v>
      </c>
      <c r="Z39">
        <v>110.8</v>
      </c>
      <c r="AA39">
        <v>109.8</v>
      </c>
      <c r="AB39">
        <v>111.5</v>
      </c>
      <c r="AC39">
        <v>108</v>
      </c>
      <c r="AD39">
        <v>110.5</v>
      </c>
      <c r="AE39">
        <v>112.9</v>
      </c>
    </row>
    <row r="40" spans="1:31" hidden="1" x14ac:dyDescent="0.3">
      <c r="A40" t="s">
        <v>34</v>
      </c>
      <c r="B40">
        <v>2014</v>
      </c>
      <c r="C40" t="s">
        <v>31</v>
      </c>
      <c r="D40">
        <v>119.6</v>
      </c>
      <c r="E40">
        <v>118.8</v>
      </c>
      <c r="F40">
        <v>124.1</v>
      </c>
      <c r="G40">
        <v>114.1</v>
      </c>
      <c r="H40">
        <v>106.8</v>
      </c>
      <c r="I40">
        <v>113.9</v>
      </c>
      <c r="J40">
        <v>122.2</v>
      </c>
      <c r="K40">
        <v>108.9</v>
      </c>
      <c r="L40">
        <v>100.2</v>
      </c>
      <c r="M40">
        <v>111</v>
      </c>
      <c r="N40">
        <v>112.3</v>
      </c>
      <c r="O40">
        <v>118.1</v>
      </c>
      <c r="Q40">
        <v>115.8</v>
      </c>
      <c r="R40">
        <v>114.5</v>
      </c>
      <c r="S40">
        <v>115.8</v>
      </c>
      <c r="T40">
        <v>113.2</v>
      </c>
      <c r="U40">
        <v>115.4</v>
      </c>
      <c r="V40">
        <v>111.6</v>
      </c>
      <c r="W40">
        <v>112.2</v>
      </c>
      <c r="X40">
        <v>112.3</v>
      </c>
      <c r="Y40">
        <v>110.3</v>
      </c>
      <c r="Z40">
        <v>110.7</v>
      </c>
      <c r="AA40">
        <v>109.7</v>
      </c>
      <c r="AB40">
        <v>111.6</v>
      </c>
      <c r="AC40">
        <v>108.2</v>
      </c>
      <c r="AD40">
        <v>110.6</v>
      </c>
      <c r="AE40">
        <v>113.6</v>
      </c>
    </row>
    <row r="41" spans="1:31" hidden="1" x14ac:dyDescent="0.3">
      <c r="A41" t="s">
        <v>30</v>
      </c>
      <c r="B41">
        <v>2014</v>
      </c>
      <c r="C41" t="s">
        <v>35</v>
      </c>
      <c r="D41">
        <v>119.4</v>
      </c>
      <c r="E41">
        <v>117.7</v>
      </c>
      <c r="F41">
        <v>121.2</v>
      </c>
      <c r="G41">
        <v>115</v>
      </c>
      <c r="H41">
        <v>109</v>
      </c>
      <c r="I41">
        <v>116.6</v>
      </c>
      <c r="J41">
        <v>116</v>
      </c>
      <c r="K41">
        <v>109.8</v>
      </c>
      <c r="L41">
        <v>101.1</v>
      </c>
      <c r="M41">
        <v>110.4</v>
      </c>
      <c r="N41">
        <v>112.9</v>
      </c>
      <c r="O41">
        <v>117.8</v>
      </c>
      <c r="Q41">
        <v>115.3</v>
      </c>
      <c r="R41">
        <v>114.2</v>
      </c>
      <c r="S41">
        <v>117.1</v>
      </c>
      <c r="T41">
        <v>114.5</v>
      </c>
      <c r="U41">
        <v>116.7</v>
      </c>
      <c r="V41" t="s">
        <v>32</v>
      </c>
      <c r="W41">
        <v>113.2</v>
      </c>
      <c r="X41">
        <v>112.9</v>
      </c>
      <c r="Y41">
        <v>110.9</v>
      </c>
      <c r="Z41">
        <v>110.8</v>
      </c>
      <c r="AA41">
        <v>109.9</v>
      </c>
      <c r="AB41">
        <v>112</v>
      </c>
      <c r="AC41">
        <v>108.7</v>
      </c>
      <c r="AD41">
        <v>110.9</v>
      </c>
      <c r="AE41">
        <v>114</v>
      </c>
    </row>
    <row r="42" spans="1:31" hidden="1" x14ac:dyDescent="0.3">
      <c r="A42" t="s">
        <v>33</v>
      </c>
      <c r="B42">
        <v>2014</v>
      </c>
      <c r="C42" t="s">
        <v>35</v>
      </c>
      <c r="D42">
        <v>121.9</v>
      </c>
      <c r="E42">
        <v>122</v>
      </c>
      <c r="F42">
        <v>124.5</v>
      </c>
      <c r="G42">
        <v>115.2</v>
      </c>
      <c r="H42">
        <v>102.5</v>
      </c>
      <c r="I42">
        <v>114.1</v>
      </c>
      <c r="J42">
        <v>111.5</v>
      </c>
      <c r="K42">
        <v>108.2</v>
      </c>
      <c r="L42">
        <v>95.4</v>
      </c>
      <c r="M42">
        <v>113.5</v>
      </c>
      <c r="N42">
        <v>112.1</v>
      </c>
      <c r="O42">
        <v>119.9</v>
      </c>
      <c r="Q42">
        <v>115.2</v>
      </c>
      <c r="R42">
        <v>116.2</v>
      </c>
      <c r="S42">
        <v>115.3</v>
      </c>
      <c r="T42">
        <v>111.7</v>
      </c>
      <c r="U42">
        <v>114.7</v>
      </c>
      <c r="V42">
        <v>112.5</v>
      </c>
      <c r="W42">
        <v>111.1</v>
      </c>
      <c r="X42">
        <v>112.6</v>
      </c>
      <c r="Y42">
        <v>110.4</v>
      </c>
      <c r="Z42">
        <v>111.3</v>
      </c>
      <c r="AA42">
        <v>110.3</v>
      </c>
      <c r="AB42">
        <v>111.6</v>
      </c>
      <c r="AC42">
        <v>108.7</v>
      </c>
      <c r="AD42">
        <v>111</v>
      </c>
      <c r="AE42">
        <v>113.1</v>
      </c>
    </row>
    <row r="43" spans="1:31" hidden="1" x14ac:dyDescent="0.3">
      <c r="A43" t="s">
        <v>34</v>
      </c>
      <c r="B43">
        <v>2014</v>
      </c>
      <c r="C43" t="s">
        <v>35</v>
      </c>
      <c r="D43">
        <v>120.2</v>
      </c>
      <c r="E43">
        <v>119.2</v>
      </c>
      <c r="F43">
        <v>122.5</v>
      </c>
      <c r="G43">
        <v>115.1</v>
      </c>
      <c r="H43">
        <v>106.6</v>
      </c>
      <c r="I43">
        <v>115.4</v>
      </c>
      <c r="J43">
        <v>114.5</v>
      </c>
      <c r="K43">
        <v>109.3</v>
      </c>
      <c r="L43">
        <v>99.2</v>
      </c>
      <c r="M43">
        <v>111.4</v>
      </c>
      <c r="N43">
        <v>112.6</v>
      </c>
      <c r="O43">
        <v>118.8</v>
      </c>
      <c r="Q43">
        <v>115.3</v>
      </c>
      <c r="R43">
        <v>114.7</v>
      </c>
      <c r="S43">
        <v>116.4</v>
      </c>
      <c r="T43">
        <v>113.3</v>
      </c>
      <c r="U43">
        <v>115.9</v>
      </c>
      <c r="V43">
        <v>112.5</v>
      </c>
      <c r="W43">
        <v>112.4</v>
      </c>
      <c r="X43">
        <v>112.8</v>
      </c>
      <c r="Y43">
        <v>110.7</v>
      </c>
      <c r="Z43">
        <v>111.1</v>
      </c>
      <c r="AA43">
        <v>110.1</v>
      </c>
      <c r="AB43">
        <v>111.8</v>
      </c>
      <c r="AC43">
        <v>108.7</v>
      </c>
      <c r="AD43">
        <v>110.9</v>
      </c>
      <c r="AE43">
        <v>113.6</v>
      </c>
    </row>
    <row r="44" spans="1:31" hidden="1" x14ac:dyDescent="0.3">
      <c r="A44" t="s">
        <v>30</v>
      </c>
      <c r="B44">
        <v>2014</v>
      </c>
      <c r="C44" t="s">
        <v>36</v>
      </c>
      <c r="D44">
        <v>120.1</v>
      </c>
      <c r="E44">
        <v>118.1</v>
      </c>
      <c r="F44">
        <v>120.7</v>
      </c>
      <c r="G44">
        <v>116.1</v>
      </c>
      <c r="H44">
        <v>109.3</v>
      </c>
      <c r="I44">
        <v>119.6</v>
      </c>
      <c r="J44">
        <v>117.9</v>
      </c>
      <c r="K44">
        <v>110.2</v>
      </c>
      <c r="L44">
        <v>101.2</v>
      </c>
      <c r="M44">
        <v>110.7</v>
      </c>
      <c r="N44">
        <v>113</v>
      </c>
      <c r="O44">
        <v>118.3</v>
      </c>
      <c r="Q44">
        <v>116.2</v>
      </c>
      <c r="R44">
        <v>114.6</v>
      </c>
      <c r="S44">
        <v>117.5</v>
      </c>
      <c r="T44">
        <v>114.9</v>
      </c>
      <c r="U44">
        <v>117.2</v>
      </c>
      <c r="V44" t="s">
        <v>32</v>
      </c>
      <c r="W44">
        <v>113.4</v>
      </c>
      <c r="X44">
        <v>113.4</v>
      </c>
      <c r="Y44">
        <v>111.4</v>
      </c>
      <c r="Z44">
        <v>111.2</v>
      </c>
      <c r="AA44">
        <v>110.2</v>
      </c>
      <c r="AB44">
        <v>112.4</v>
      </c>
      <c r="AC44">
        <v>108.9</v>
      </c>
      <c r="AD44">
        <v>111.3</v>
      </c>
      <c r="AE44">
        <v>114.6</v>
      </c>
    </row>
    <row r="45" spans="1:31" hidden="1" x14ac:dyDescent="0.3">
      <c r="A45" t="s">
        <v>33</v>
      </c>
      <c r="B45">
        <v>2014</v>
      </c>
      <c r="C45" t="s">
        <v>36</v>
      </c>
      <c r="D45">
        <v>122.1</v>
      </c>
      <c r="E45">
        <v>121.4</v>
      </c>
      <c r="F45">
        <v>121.5</v>
      </c>
      <c r="G45">
        <v>116.2</v>
      </c>
      <c r="H45">
        <v>102.8</v>
      </c>
      <c r="I45">
        <v>117.7</v>
      </c>
      <c r="J45">
        <v>113.3</v>
      </c>
      <c r="K45">
        <v>108.9</v>
      </c>
      <c r="L45">
        <v>96.3</v>
      </c>
      <c r="M45">
        <v>114.1</v>
      </c>
      <c r="N45">
        <v>112.2</v>
      </c>
      <c r="O45">
        <v>120.5</v>
      </c>
      <c r="Q45">
        <v>116</v>
      </c>
      <c r="R45">
        <v>116.7</v>
      </c>
      <c r="S45">
        <v>115.8</v>
      </c>
      <c r="T45">
        <v>112.1</v>
      </c>
      <c r="U45">
        <v>115.2</v>
      </c>
      <c r="V45">
        <v>113.2</v>
      </c>
      <c r="W45">
        <v>110.9</v>
      </c>
      <c r="X45">
        <v>113</v>
      </c>
      <c r="Y45">
        <v>110.8</v>
      </c>
      <c r="Z45">
        <v>111.6</v>
      </c>
      <c r="AA45">
        <v>110.9</v>
      </c>
      <c r="AB45">
        <v>111.8</v>
      </c>
      <c r="AC45">
        <v>109.2</v>
      </c>
      <c r="AD45">
        <v>111.4</v>
      </c>
      <c r="AE45">
        <v>113.7</v>
      </c>
    </row>
    <row r="46" spans="1:31" hidden="1" x14ac:dyDescent="0.3">
      <c r="A46" t="s">
        <v>34</v>
      </c>
      <c r="B46">
        <v>2014</v>
      </c>
      <c r="C46" t="s">
        <v>47</v>
      </c>
      <c r="D46">
        <v>120.7</v>
      </c>
      <c r="E46">
        <v>119.3</v>
      </c>
      <c r="F46">
        <v>121</v>
      </c>
      <c r="G46">
        <v>116.1</v>
      </c>
      <c r="H46">
        <v>106.9</v>
      </c>
      <c r="I46">
        <v>118.7</v>
      </c>
      <c r="J46">
        <v>116.3</v>
      </c>
      <c r="K46">
        <v>109.8</v>
      </c>
      <c r="L46">
        <v>99.6</v>
      </c>
      <c r="M46">
        <v>111.8</v>
      </c>
      <c r="N46">
        <v>112.7</v>
      </c>
      <c r="O46">
        <v>119.3</v>
      </c>
      <c r="Q46">
        <v>116.1</v>
      </c>
      <c r="R46">
        <v>115.2</v>
      </c>
      <c r="S46">
        <v>116.8</v>
      </c>
      <c r="T46">
        <v>113.7</v>
      </c>
      <c r="U46">
        <v>116.4</v>
      </c>
      <c r="V46">
        <v>113.2</v>
      </c>
      <c r="W46">
        <v>112.5</v>
      </c>
      <c r="X46">
        <v>113.2</v>
      </c>
      <c r="Y46">
        <v>111.2</v>
      </c>
      <c r="Z46">
        <v>111.4</v>
      </c>
      <c r="AA46">
        <v>110.6</v>
      </c>
      <c r="AB46">
        <v>112</v>
      </c>
      <c r="AC46">
        <v>109</v>
      </c>
      <c r="AD46">
        <v>111.3</v>
      </c>
      <c r="AE46">
        <v>114.2</v>
      </c>
    </row>
    <row r="47" spans="1:31" hidden="1" x14ac:dyDescent="0.3">
      <c r="A47" t="s">
        <v>30</v>
      </c>
      <c r="B47">
        <v>2014</v>
      </c>
      <c r="C47" t="s">
        <v>37</v>
      </c>
      <c r="D47">
        <v>120.2</v>
      </c>
      <c r="E47">
        <v>118.9</v>
      </c>
      <c r="F47">
        <v>118.1</v>
      </c>
      <c r="G47">
        <v>117</v>
      </c>
      <c r="H47">
        <v>109.7</v>
      </c>
      <c r="I47">
        <v>125.5</v>
      </c>
      <c r="J47">
        <v>120.5</v>
      </c>
      <c r="K47">
        <v>111</v>
      </c>
      <c r="L47">
        <v>102.6</v>
      </c>
      <c r="M47">
        <v>111.2</v>
      </c>
      <c r="N47">
        <v>113.5</v>
      </c>
      <c r="O47">
        <v>118.7</v>
      </c>
      <c r="Q47">
        <v>117.2</v>
      </c>
      <c r="R47">
        <v>115.4</v>
      </c>
      <c r="S47">
        <v>118.1</v>
      </c>
      <c r="T47">
        <v>116.1</v>
      </c>
      <c r="U47">
        <v>117.8</v>
      </c>
      <c r="V47" t="s">
        <v>32</v>
      </c>
      <c r="W47">
        <v>113.4</v>
      </c>
      <c r="X47">
        <v>113.7</v>
      </c>
      <c r="Y47">
        <v>111.8</v>
      </c>
      <c r="Z47">
        <v>111.2</v>
      </c>
      <c r="AA47">
        <v>110.5</v>
      </c>
      <c r="AB47">
        <v>113</v>
      </c>
      <c r="AC47">
        <v>108.9</v>
      </c>
      <c r="AD47">
        <v>111.5</v>
      </c>
      <c r="AE47">
        <v>115.4</v>
      </c>
    </row>
    <row r="48" spans="1:31" hidden="1" x14ac:dyDescent="0.3">
      <c r="A48" t="s">
        <v>33</v>
      </c>
      <c r="B48">
        <v>2014</v>
      </c>
      <c r="C48" t="s">
        <v>37</v>
      </c>
      <c r="D48">
        <v>122.5</v>
      </c>
      <c r="E48">
        <v>121.7</v>
      </c>
      <c r="F48">
        <v>113.3</v>
      </c>
      <c r="G48">
        <v>117</v>
      </c>
      <c r="H48">
        <v>103.1</v>
      </c>
      <c r="I48">
        <v>126.7</v>
      </c>
      <c r="J48">
        <v>121.2</v>
      </c>
      <c r="K48">
        <v>111</v>
      </c>
      <c r="L48">
        <v>100.3</v>
      </c>
      <c r="M48">
        <v>115.3</v>
      </c>
      <c r="N48">
        <v>112.7</v>
      </c>
      <c r="O48">
        <v>121</v>
      </c>
      <c r="Q48">
        <v>118.2</v>
      </c>
      <c r="R48">
        <v>117.6</v>
      </c>
      <c r="S48">
        <v>116.3</v>
      </c>
      <c r="T48">
        <v>112.5</v>
      </c>
      <c r="U48">
        <v>115.7</v>
      </c>
      <c r="V48">
        <v>113.9</v>
      </c>
      <c r="W48">
        <v>110.9</v>
      </c>
      <c r="X48">
        <v>113.4</v>
      </c>
      <c r="Y48">
        <v>111</v>
      </c>
      <c r="Z48">
        <v>111.2</v>
      </c>
      <c r="AA48">
        <v>111.2</v>
      </c>
      <c r="AB48">
        <v>112.5</v>
      </c>
      <c r="AC48">
        <v>109.1</v>
      </c>
      <c r="AD48">
        <v>111.4</v>
      </c>
      <c r="AE48">
        <v>114.7</v>
      </c>
    </row>
    <row r="49" spans="1:31" hidden="1" x14ac:dyDescent="0.3">
      <c r="A49" t="s">
        <v>34</v>
      </c>
      <c r="B49">
        <v>2014</v>
      </c>
      <c r="C49" t="s">
        <v>37</v>
      </c>
      <c r="D49">
        <v>120.9</v>
      </c>
      <c r="E49">
        <v>119.9</v>
      </c>
      <c r="F49">
        <v>116.2</v>
      </c>
      <c r="G49">
        <v>117</v>
      </c>
      <c r="H49">
        <v>107.3</v>
      </c>
      <c r="I49">
        <v>126.1</v>
      </c>
      <c r="J49">
        <v>120.7</v>
      </c>
      <c r="K49">
        <v>111</v>
      </c>
      <c r="L49">
        <v>101.8</v>
      </c>
      <c r="M49">
        <v>112.6</v>
      </c>
      <c r="N49">
        <v>113.2</v>
      </c>
      <c r="O49">
        <v>119.8</v>
      </c>
      <c r="Q49">
        <v>117.6</v>
      </c>
      <c r="R49">
        <v>116</v>
      </c>
      <c r="S49">
        <v>117.4</v>
      </c>
      <c r="T49">
        <v>114.6</v>
      </c>
      <c r="U49">
        <v>117</v>
      </c>
      <c r="V49">
        <v>113.9</v>
      </c>
      <c r="W49">
        <v>112.5</v>
      </c>
      <c r="X49">
        <v>113.6</v>
      </c>
      <c r="Y49">
        <v>111.5</v>
      </c>
      <c r="Z49">
        <v>111.2</v>
      </c>
      <c r="AA49">
        <v>110.9</v>
      </c>
      <c r="AB49">
        <v>112.7</v>
      </c>
      <c r="AC49">
        <v>109</v>
      </c>
      <c r="AD49">
        <v>111.5</v>
      </c>
      <c r="AE49">
        <v>115.1</v>
      </c>
    </row>
    <row r="50" spans="1:31" hidden="1" x14ac:dyDescent="0.3">
      <c r="A50" t="s">
        <v>30</v>
      </c>
      <c r="B50">
        <v>2014</v>
      </c>
      <c r="C50" t="s">
        <v>38</v>
      </c>
      <c r="D50">
        <v>120.3</v>
      </c>
      <c r="E50">
        <v>120.2</v>
      </c>
      <c r="F50">
        <v>116.9</v>
      </c>
      <c r="G50">
        <v>118</v>
      </c>
      <c r="H50">
        <v>110.1</v>
      </c>
      <c r="I50">
        <v>126.3</v>
      </c>
      <c r="J50">
        <v>123.9</v>
      </c>
      <c r="K50">
        <v>111.5</v>
      </c>
      <c r="L50">
        <v>103.5</v>
      </c>
      <c r="M50">
        <v>111.6</v>
      </c>
      <c r="N50">
        <v>114.2</v>
      </c>
      <c r="O50">
        <v>119.2</v>
      </c>
      <c r="Q50">
        <v>118.2</v>
      </c>
      <c r="R50">
        <v>116.3</v>
      </c>
      <c r="S50">
        <v>118.7</v>
      </c>
      <c r="T50">
        <v>116.8</v>
      </c>
      <c r="U50">
        <v>118.5</v>
      </c>
      <c r="V50" t="s">
        <v>32</v>
      </c>
      <c r="W50">
        <v>113.4</v>
      </c>
      <c r="X50">
        <v>114.1</v>
      </c>
      <c r="Y50">
        <v>112.1</v>
      </c>
      <c r="Z50">
        <v>111.4</v>
      </c>
      <c r="AA50">
        <v>110.9</v>
      </c>
      <c r="AB50">
        <v>113.1</v>
      </c>
      <c r="AC50">
        <v>108.9</v>
      </c>
      <c r="AD50">
        <v>111.8</v>
      </c>
      <c r="AE50">
        <v>116</v>
      </c>
    </row>
    <row r="51" spans="1:31"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Q51">
        <v>120</v>
      </c>
      <c r="R51">
        <v>118.3</v>
      </c>
      <c r="S51">
        <v>116.8</v>
      </c>
      <c r="T51">
        <v>112.9</v>
      </c>
      <c r="U51">
        <v>116.2</v>
      </c>
      <c r="V51">
        <v>114.3</v>
      </c>
      <c r="W51">
        <v>111.1</v>
      </c>
      <c r="X51">
        <v>114.1</v>
      </c>
      <c r="Y51">
        <v>111.2</v>
      </c>
      <c r="Z51">
        <v>111.3</v>
      </c>
      <c r="AA51">
        <v>111.5</v>
      </c>
      <c r="AB51">
        <v>112.9</v>
      </c>
      <c r="AC51">
        <v>109.3</v>
      </c>
      <c r="AD51">
        <v>111.7</v>
      </c>
      <c r="AE51">
        <v>115.6</v>
      </c>
    </row>
    <row r="52" spans="1:31" hidden="1" x14ac:dyDescent="0.3">
      <c r="A52" t="s">
        <v>34</v>
      </c>
      <c r="B52">
        <v>2014</v>
      </c>
      <c r="C52" t="s">
        <v>38</v>
      </c>
      <c r="D52">
        <v>121.1</v>
      </c>
      <c r="E52">
        <v>121.6</v>
      </c>
      <c r="F52">
        <v>115.9</v>
      </c>
      <c r="G52">
        <v>118.4</v>
      </c>
      <c r="H52">
        <v>107.7</v>
      </c>
      <c r="I52">
        <v>127.7</v>
      </c>
      <c r="J52">
        <v>125</v>
      </c>
      <c r="K52">
        <v>111.9</v>
      </c>
      <c r="L52">
        <v>102.8</v>
      </c>
      <c r="M52">
        <v>113.4</v>
      </c>
      <c r="N52">
        <v>113.7</v>
      </c>
      <c r="O52">
        <v>120.4</v>
      </c>
      <c r="Q52">
        <v>118.9</v>
      </c>
      <c r="R52">
        <v>116.8</v>
      </c>
      <c r="S52">
        <v>118</v>
      </c>
      <c r="T52">
        <v>115.2</v>
      </c>
      <c r="U52">
        <v>117.6</v>
      </c>
      <c r="V52">
        <v>114.3</v>
      </c>
      <c r="W52">
        <v>112.5</v>
      </c>
      <c r="X52">
        <v>114.1</v>
      </c>
      <c r="Y52">
        <v>111.8</v>
      </c>
      <c r="Z52">
        <v>111.3</v>
      </c>
      <c r="AA52">
        <v>111.2</v>
      </c>
      <c r="AB52">
        <v>113</v>
      </c>
      <c r="AC52">
        <v>109.1</v>
      </c>
      <c r="AD52">
        <v>111.8</v>
      </c>
      <c r="AE52">
        <v>115.8</v>
      </c>
    </row>
    <row r="53" spans="1:31"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Q53">
        <v>119.5</v>
      </c>
      <c r="R53">
        <v>117.3</v>
      </c>
      <c r="S53">
        <v>119.7</v>
      </c>
      <c r="T53">
        <v>117.3</v>
      </c>
      <c r="U53">
        <v>119.3</v>
      </c>
      <c r="V53" t="s">
        <v>32</v>
      </c>
      <c r="W53">
        <v>114.4</v>
      </c>
      <c r="X53">
        <v>114.9</v>
      </c>
      <c r="Y53">
        <v>112.8</v>
      </c>
      <c r="Z53">
        <v>112.2</v>
      </c>
      <c r="AA53">
        <v>111.4</v>
      </c>
      <c r="AB53">
        <v>114.3</v>
      </c>
      <c r="AC53">
        <v>108</v>
      </c>
      <c r="AD53">
        <v>112.3</v>
      </c>
      <c r="AE53">
        <v>117</v>
      </c>
    </row>
    <row r="54" spans="1:31"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Q54">
        <v>122</v>
      </c>
      <c r="R54">
        <v>119</v>
      </c>
      <c r="S54">
        <v>117.4</v>
      </c>
      <c r="T54">
        <v>113.2</v>
      </c>
      <c r="U54">
        <v>116.7</v>
      </c>
      <c r="V54">
        <v>113.9</v>
      </c>
      <c r="W54">
        <v>111.2</v>
      </c>
      <c r="X54">
        <v>114.3</v>
      </c>
      <c r="Y54">
        <v>111.4</v>
      </c>
      <c r="Z54">
        <v>111.5</v>
      </c>
      <c r="AA54">
        <v>111.8</v>
      </c>
      <c r="AB54">
        <v>115.1</v>
      </c>
      <c r="AC54">
        <v>108.7</v>
      </c>
      <c r="AD54">
        <v>112.2</v>
      </c>
      <c r="AE54">
        <v>116.4</v>
      </c>
    </row>
    <row r="55" spans="1:31"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Q55">
        <v>120.4</v>
      </c>
      <c r="R55">
        <v>117.8</v>
      </c>
      <c r="S55">
        <v>118.8</v>
      </c>
      <c r="T55">
        <v>115.6</v>
      </c>
      <c r="U55">
        <v>118.3</v>
      </c>
      <c r="V55">
        <v>113.9</v>
      </c>
      <c r="W55">
        <v>113.2</v>
      </c>
      <c r="X55">
        <v>114.6</v>
      </c>
      <c r="Y55">
        <v>112.3</v>
      </c>
      <c r="Z55">
        <v>111.8</v>
      </c>
      <c r="AA55">
        <v>111.6</v>
      </c>
      <c r="AB55">
        <v>114.8</v>
      </c>
      <c r="AC55">
        <v>108.3</v>
      </c>
      <c r="AD55">
        <v>112.3</v>
      </c>
      <c r="AE55">
        <v>116.7</v>
      </c>
    </row>
    <row r="56" spans="1:31" hidden="1" x14ac:dyDescent="0.3">
      <c r="A56" t="s">
        <v>30</v>
      </c>
      <c r="B56">
        <v>2014</v>
      </c>
      <c r="C56" t="s">
        <v>40</v>
      </c>
      <c r="D56">
        <v>121.7</v>
      </c>
      <c r="E56">
        <v>122.5</v>
      </c>
      <c r="F56">
        <v>117.7</v>
      </c>
      <c r="G56">
        <v>120.6</v>
      </c>
      <c r="H56">
        <v>110.4</v>
      </c>
      <c r="I56">
        <v>129.1</v>
      </c>
      <c r="J56">
        <v>150.1</v>
      </c>
      <c r="K56">
        <v>113.2</v>
      </c>
      <c r="L56">
        <v>104.8</v>
      </c>
      <c r="M56">
        <v>113.3</v>
      </c>
      <c r="N56">
        <v>115.6</v>
      </c>
      <c r="O56">
        <v>120.9</v>
      </c>
      <c r="Q56">
        <v>123.3</v>
      </c>
      <c r="R56">
        <v>118</v>
      </c>
      <c r="S56">
        <v>120.7</v>
      </c>
      <c r="T56">
        <v>118.3</v>
      </c>
      <c r="U56">
        <v>120.3</v>
      </c>
      <c r="V56" t="s">
        <v>32</v>
      </c>
      <c r="W56">
        <v>115.3</v>
      </c>
      <c r="X56">
        <v>115.4</v>
      </c>
      <c r="Y56">
        <v>113.4</v>
      </c>
      <c r="Z56">
        <v>113.2</v>
      </c>
      <c r="AA56">
        <v>111.8</v>
      </c>
      <c r="AB56">
        <v>115.5</v>
      </c>
      <c r="AC56">
        <v>108.8</v>
      </c>
      <c r="AD56">
        <v>113.1</v>
      </c>
      <c r="AE56">
        <v>119.5</v>
      </c>
    </row>
    <row r="57" spans="1:31"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Q57">
        <v>127.1</v>
      </c>
      <c r="R57">
        <v>121</v>
      </c>
      <c r="S57">
        <v>118</v>
      </c>
      <c r="T57">
        <v>113.6</v>
      </c>
      <c r="U57">
        <v>117.4</v>
      </c>
      <c r="V57">
        <v>114.8</v>
      </c>
      <c r="W57">
        <v>111.6</v>
      </c>
      <c r="X57">
        <v>114.9</v>
      </c>
      <c r="Y57">
        <v>111.5</v>
      </c>
      <c r="Z57">
        <v>113</v>
      </c>
      <c r="AA57">
        <v>112.4</v>
      </c>
      <c r="AB57">
        <v>117.8</v>
      </c>
      <c r="AC57">
        <v>109.7</v>
      </c>
      <c r="AD57">
        <v>113.5</v>
      </c>
      <c r="AE57">
        <v>118.9</v>
      </c>
    </row>
    <row r="58" spans="1:31"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Q58">
        <v>124.7</v>
      </c>
      <c r="R58">
        <v>118.8</v>
      </c>
      <c r="S58">
        <v>119.6</v>
      </c>
      <c r="T58">
        <v>116.3</v>
      </c>
      <c r="U58">
        <v>119.1</v>
      </c>
      <c r="V58">
        <v>114.8</v>
      </c>
      <c r="W58">
        <v>113.9</v>
      </c>
      <c r="X58">
        <v>115.2</v>
      </c>
      <c r="Y58">
        <v>112.7</v>
      </c>
      <c r="Z58">
        <v>113.1</v>
      </c>
      <c r="AA58">
        <v>112.1</v>
      </c>
      <c r="AB58">
        <v>116.8</v>
      </c>
      <c r="AC58">
        <v>109.2</v>
      </c>
      <c r="AD58">
        <v>113.3</v>
      </c>
      <c r="AE58">
        <v>119.2</v>
      </c>
    </row>
    <row r="59" spans="1:31"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Q59">
        <v>125.3</v>
      </c>
      <c r="R59">
        <v>118.8</v>
      </c>
      <c r="S59">
        <v>120.9</v>
      </c>
      <c r="T59">
        <v>118.8</v>
      </c>
      <c r="U59">
        <v>120.7</v>
      </c>
      <c r="V59" t="s">
        <v>32</v>
      </c>
      <c r="W59">
        <v>115.4</v>
      </c>
      <c r="X59">
        <v>115.9</v>
      </c>
      <c r="Y59">
        <v>114</v>
      </c>
      <c r="Z59">
        <v>113.2</v>
      </c>
      <c r="AA59">
        <v>112.2</v>
      </c>
      <c r="AB59">
        <v>116.2</v>
      </c>
      <c r="AC59">
        <v>109.4</v>
      </c>
      <c r="AD59">
        <v>113.5</v>
      </c>
      <c r="AE59">
        <v>120.7</v>
      </c>
    </row>
    <row r="60" spans="1:31"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Q60">
        <v>128.9</v>
      </c>
      <c r="R60">
        <v>123</v>
      </c>
      <c r="S60">
        <v>118.6</v>
      </c>
      <c r="T60">
        <v>114.1</v>
      </c>
      <c r="U60">
        <v>117.9</v>
      </c>
      <c r="V60">
        <v>115.5</v>
      </c>
      <c r="W60">
        <v>111.8</v>
      </c>
      <c r="X60">
        <v>115.3</v>
      </c>
      <c r="Y60">
        <v>112.2</v>
      </c>
      <c r="Z60">
        <v>112.5</v>
      </c>
      <c r="AA60">
        <v>112.9</v>
      </c>
      <c r="AB60">
        <v>119.2</v>
      </c>
      <c r="AC60">
        <v>110.5</v>
      </c>
      <c r="AD60">
        <v>113.9</v>
      </c>
      <c r="AE60">
        <v>119.9</v>
      </c>
    </row>
    <row r="61" spans="1:31" hidden="1" x14ac:dyDescent="0.3">
      <c r="A61" t="s">
        <v>34</v>
      </c>
      <c r="B61">
        <v>2014</v>
      </c>
      <c r="C61" t="s">
        <v>41</v>
      </c>
      <c r="D61">
        <v>122.7</v>
      </c>
      <c r="E61">
        <v>124.4</v>
      </c>
      <c r="F61">
        <v>117.3</v>
      </c>
      <c r="G61">
        <v>122</v>
      </c>
      <c r="H61">
        <v>108</v>
      </c>
      <c r="I61">
        <v>131.1</v>
      </c>
      <c r="J61">
        <v>168.2</v>
      </c>
      <c r="K61">
        <v>114.5</v>
      </c>
      <c r="L61">
        <v>104.3</v>
      </c>
      <c r="M61">
        <v>117.1</v>
      </c>
      <c r="N61">
        <v>115.2</v>
      </c>
      <c r="O61">
        <v>123.1</v>
      </c>
      <c r="Q61">
        <v>126.6</v>
      </c>
      <c r="R61">
        <v>119.9</v>
      </c>
      <c r="S61">
        <v>120</v>
      </c>
      <c r="T61">
        <v>116.8</v>
      </c>
      <c r="U61">
        <v>119.6</v>
      </c>
      <c r="V61">
        <v>115.5</v>
      </c>
      <c r="W61">
        <v>114</v>
      </c>
      <c r="X61">
        <v>115.6</v>
      </c>
      <c r="Y61">
        <v>113.3</v>
      </c>
      <c r="Z61">
        <v>112.8</v>
      </c>
      <c r="AA61">
        <v>112.6</v>
      </c>
      <c r="AB61">
        <v>118</v>
      </c>
      <c r="AC61">
        <v>109.9</v>
      </c>
      <c r="AD61">
        <v>113.7</v>
      </c>
      <c r="AE61">
        <v>120.3</v>
      </c>
    </row>
    <row r="62" spans="1:31"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Q62">
        <v>125.3</v>
      </c>
      <c r="R62">
        <v>119.5</v>
      </c>
      <c r="S62">
        <v>121.7</v>
      </c>
      <c r="T62">
        <v>119.2</v>
      </c>
      <c r="U62">
        <v>121.3</v>
      </c>
      <c r="V62" t="s">
        <v>32</v>
      </c>
      <c r="W62">
        <v>115.8</v>
      </c>
      <c r="X62">
        <v>116.7</v>
      </c>
      <c r="Y62">
        <v>114.5</v>
      </c>
      <c r="Z62">
        <v>112.8</v>
      </c>
      <c r="AA62">
        <v>112.6</v>
      </c>
      <c r="AB62">
        <v>116.6</v>
      </c>
      <c r="AC62">
        <v>109.1</v>
      </c>
      <c r="AD62">
        <v>113.7</v>
      </c>
      <c r="AE62">
        <v>120.9</v>
      </c>
    </row>
    <row r="63" spans="1:31" hidden="1" x14ac:dyDescent="0.3">
      <c r="A63" t="s">
        <v>33</v>
      </c>
      <c r="B63">
        <v>2014</v>
      </c>
      <c r="C63" t="s">
        <v>42</v>
      </c>
      <c r="D63">
        <v>124.2</v>
      </c>
      <c r="E63">
        <v>125.4</v>
      </c>
      <c r="F63">
        <v>116.4</v>
      </c>
      <c r="G63">
        <v>122.7</v>
      </c>
      <c r="H63">
        <v>103.5</v>
      </c>
      <c r="I63">
        <v>124.5</v>
      </c>
      <c r="J63">
        <v>168.6</v>
      </c>
      <c r="K63">
        <v>116.9</v>
      </c>
      <c r="L63">
        <v>101.9</v>
      </c>
      <c r="M63">
        <v>122.9</v>
      </c>
      <c r="N63">
        <v>114.8</v>
      </c>
      <c r="O63">
        <v>125.2</v>
      </c>
      <c r="Q63">
        <v>126.7</v>
      </c>
      <c r="R63">
        <v>124.3</v>
      </c>
      <c r="S63">
        <v>119.2</v>
      </c>
      <c r="T63">
        <v>114.5</v>
      </c>
      <c r="U63">
        <v>118.4</v>
      </c>
      <c r="V63">
        <v>116.1</v>
      </c>
      <c r="W63">
        <v>111.8</v>
      </c>
      <c r="X63">
        <v>115.5</v>
      </c>
      <c r="Y63">
        <v>112.3</v>
      </c>
      <c r="Z63">
        <v>111.2</v>
      </c>
      <c r="AA63">
        <v>113.4</v>
      </c>
      <c r="AB63">
        <v>120</v>
      </c>
      <c r="AC63">
        <v>110</v>
      </c>
      <c r="AD63">
        <v>113.6</v>
      </c>
      <c r="AE63">
        <v>119.2</v>
      </c>
    </row>
    <row r="64" spans="1:31" hidden="1" x14ac:dyDescent="0.3">
      <c r="A64" t="s">
        <v>34</v>
      </c>
      <c r="B64">
        <v>2014</v>
      </c>
      <c r="C64" t="s">
        <v>42</v>
      </c>
      <c r="D64">
        <v>122.9</v>
      </c>
      <c r="E64">
        <v>123.5</v>
      </c>
      <c r="F64">
        <v>117.3</v>
      </c>
      <c r="G64">
        <v>122.7</v>
      </c>
      <c r="H64">
        <v>107.9</v>
      </c>
      <c r="I64">
        <v>127.3</v>
      </c>
      <c r="J64">
        <v>162.1</v>
      </c>
      <c r="K64">
        <v>115.6</v>
      </c>
      <c r="L64">
        <v>103.8</v>
      </c>
      <c r="M64">
        <v>117.6</v>
      </c>
      <c r="N64">
        <v>115.8</v>
      </c>
      <c r="O64">
        <v>123.8</v>
      </c>
      <c r="Q64">
        <v>125.8</v>
      </c>
      <c r="R64">
        <v>120.8</v>
      </c>
      <c r="S64">
        <v>120.7</v>
      </c>
      <c r="T64">
        <v>117.2</v>
      </c>
      <c r="U64">
        <v>120.1</v>
      </c>
      <c r="V64">
        <v>116.1</v>
      </c>
      <c r="W64">
        <v>114.3</v>
      </c>
      <c r="X64">
        <v>116.1</v>
      </c>
      <c r="Y64">
        <v>113.7</v>
      </c>
      <c r="Z64">
        <v>112</v>
      </c>
      <c r="AA64">
        <v>113.1</v>
      </c>
      <c r="AB64">
        <v>118.6</v>
      </c>
      <c r="AC64">
        <v>109.5</v>
      </c>
      <c r="AD64">
        <v>113.7</v>
      </c>
      <c r="AE64">
        <v>120.1</v>
      </c>
    </row>
    <row r="65" spans="1:31"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Q65">
        <v>125.1</v>
      </c>
      <c r="R65">
        <v>120</v>
      </c>
      <c r="S65">
        <v>122.7</v>
      </c>
      <c r="T65">
        <v>120.3</v>
      </c>
      <c r="U65">
        <v>122.3</v>
      </c>
      <c r="V65" t="s">
        <v>32</v>
      </c>
      <c r="W65">
        <v>116.4</v>
      </c>
      <c r="X65">
        <v>117.5</v>
      </c>
      <c r="Y65">
        <v>115.3</v>
      </c>
      <c r="Z65">
        <v>112.6</v>
      </c>
      <c r="AA65">
        <v>113</v>
      </c>
      <c r="AB65">
        <v>116.9</v>
      </c>
      <c r="AC65">
        <v>109.3</v>
      </c>
      <c r="AD65">
        <v>114</v>
      </c>
      <c r="AE65">
        <v>121</v>
      </c>
    </row>
    <row r="66" spans="1:31" hidden="1" x14ac:dyDescent="0.3">
      <c r="A66" t="s">
        <v>33</v>
      </c>
      <c r="B66">
        <v>2014</v>
      </c>
      <c r="C66" t="s">
        <v>43</v>
      </c>
      <c r="D66">
        <v>124.6</v>
      </c>
      <c r="E66">
        <v>126.1</v>
      </c>
      <c r="F66">
        <v>117.8</v>
      </c>
      <c r="G66">
        <v>123.1</v>
      </c>
      <c r="H66">
        <v>103.5</v>
      </c>
      <c r="I66">
        <v>123.5</v>
      </c>
      <c r="J66">
        <v>159.6</v>
      </c>
      <c r="K66">
        <v>117.4</v>
      </c>
      <c r="L66">
        <v>101.2</v>
      </c>
      <c r="M66">
        <v>123.8</v>
      </c>
      <c r="N66">
        <v>115.2</v>
      </c>
      <c r="O66">
        <v>125.9</v>
      </c>
      <c r="Q66">
        <v>125.8</v>
      </c>
      <c r="R66">
        <v>124.3</v>
      </c>
      <c r="S66">
        <v>119.6</v>
      </c>
      <c r="T66">
        <v>114.9</v>
      </c>
      <c r="U66">
        <v>118.9</v>
      </c>
      <c r="V66">
        <v>116.7</v>
      </c>
      <c r="W66">
        <v>112</v>
      </c>
      <c r="X66">
        <v>115.8</v>
      </c>
      <c r="Y66">
        <v>112.6</v>
      </c>
      <c r="Z66">
        <v>111</v>
      </c>
      <c r="AA66">
        <v>113.6</v>
      </c>
      <c r="AB66">
        <v>120.2</v>
      </c>
      <c r="AC66">
        <v>110.1</v>
      </c>
      <c r="AD66">
        <v>113.7</v>
      </c>
      <c r="AE66">
        <v>119.1</v>
      </c>
    </row>
    <row r="67" spans="1:31"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Q67">
        <v>125.4</v>
      </c>
      <c r="R67">
        <v>121.1</v>
      </c>
      <c r="S67">
        <v>121.5</v>
      </c>
      <c r="T67">
        <v>118.1</v>
      </c>
      <c r="U67">
        <v>121</v>
      </c>
      <c r="V67">
        <v>116.7</v>
      </c>
      <c r="W67">
        <v>114.7</v>
      </c>
      <c r="X67">
        <v>116.7</v>
      </c>
      <c r="Y67">
        <v>114.3</v>
      </c>
      <c r="Z67">
        <v>111.8</v>
      </c>
      <c r="AA67">
        <v>113.3</v>
      </c>
      <c r="AB67">
        <v>118.8</v>
      </c>
      <c r="AC67">
        <v>109.6</v>
      </c>
      <c r="AD67">
        <v>113.9</v>
      </c>
      <c r="AE67">
        <v>120.1</v>
      </c>
    </row>
    <row r="68" spans="1:31"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Q68">
        <v>124.9</v>
      </c>
      <c r="R68">
        <v>120.8</v>
      </c>
      <c r="S68">
        <v>123.3</v>
      </c>
      <c r="T68">
        <v>120.5</v>
      </c>
      <c r="U68">
        <v>122.9</v>
      </c>
      <c r="V68" t="s">
        <v>32</v>
      </c>
      <c r="W68">
        <v>117.3</v>
      </c>
      <c r="X68">
        <v>118.1</v>
      </c>
      <c r="Y68">
        <v>115.9</v>
      </c>
      <c r="Z68">
        <v>112</v>
      </c>
      <c r="AA68">
        <v>113.3</v>
      </c>
      <c r="AB68">
        <v>117.2</v>
      </c>
      <c r="AC68">
        <v>108.8</v>
      </c>
      <c r="AD68">
        <v>114.1</v>
      </c>
      <c r="AE68">
        <v>121.1</v>
      </c>
    </row>
    <row r="69" spans="1:31"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Q69">
        <v>125.4</v>
      </c>
      <c r="R69">
        <v>125.8</v>
      </c>
      <c r="S69">
        <v>120.3</v>
      </c>
      <c r="T69">
        <v>115.4</v>
      </c>
      <c r="U69">
        <v>119.5</v>
      </c>
      <c r="V69">
        <v>117.1</v>
      </c>
      <c r="W69">
        <v>112.6</v>
      </c>
      <c r="X69">
        <v>116.4</v>
      </c>
      <c r="Y69">
        <v>113</v>
      </c>
      <c r="Z69">
        <v>109.7</v>
      </c>
      <c r="AA69">
        <v>114</v>
      </c>
      <c r="AB69">
        <v>120.3</v>
      </c>
      <c r="AC69">
        <v>109.6</v>
      </c>
      <c r="AD69">
        <v>113.4</v>
      </c>
      <c r="AE69">
        <v>119</v>
      </c>
    </row>
    <row r="70" spans="1:31" hidden="1" x14ac:dyDescent="0.3">
      <c r="A70" t="s">
        <v>34</v>
      </c>
      <c r="B70">
        <v>2014</v>
      </c>
      <c r="C70" t="s">
        <v>45</v>
      </c>
      <c r="D70">
        <v>123.3</v>
      </c>
      <c r="E70">
        <v>123.7</v>
      </c>
      <c r="F70">
        <v>121</v>
      </c>
      <c r="G70">
        <v>124.2</v>
      </c>
      <c r="H70">
        <v>107.8</v>
      </c>
      <c r="I70">
        <v>125.7</v>
      </c>
      <c r="J70">
        <v>152.4</v>
      </c>
      <c r="K70">
        <v>117.2</v>
      </c>
      <c r="L70">
        <v>102.1</v>
      </c>
      <c r="M70">
        <v>118.7</v>
      </c>
      <c r="N70">
        <v>116.4</v>
      </c>
      <c r="O70">
        <v>125.6</v>
      </c>
      <c r="Q70">
        <v>125.1</v>
      </c>
      <c r="R70">
        <v>122.1</v>
      </c>
      <c r="S70">
        <v>122.1</v>
      </c>
      <c r="T70">
        <v>118.4</v>
      </c>
      <c r="U70">
        <v>121.6</v>
      </c>
      <c r="V70">
        <v>117.1</v>
      </c>
      <c r="W70">
        <v>115.5</v>
      </c>
      <c r="X70">
        <v>117.3</v>
      </c>
      <c r="Y70">
        <v>114.8</v>
      </c>
      <c r="Z70">
        <v>110.8</v>
      </c>
      <c r="AA70">
        <v>113.7</v>
      </c>
      <c r="AB70">
        <v>119</v>
      </c>
      <c r="AC70">
        <v>109.1</v>
      </c>
      <c r="AD70">
        <v>113.8</v>
      </c>
      <c r="AE70">
        <v>120.1</v>
      </c>
    </row>
    <row r="71" spans="1:31"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Q71">
        <v>123.3</v>
      </c>
      <c r="R71">
        <v>121.7</v>
      </c>
      <c r="S71">
        <v>123.8</v>
      </c>
      <c r="T71">
        <v>120.6</v>
      </c>
      <c r="U71">
        <v>123.3</v>
      </c>
      <c r="V71" t="s">
        <v>32</v>
      </c>
      <c r="W71">
        <v>117.4</v>
      </c>
      <c r="X71">
        <v>118.2</v>
      </c>
      <c r="Y71">
        <v>116.2</v>
      </c>
      <c r="Z71">
        <v>111.5</v>
      </c>
      <c r="AA71">
        <v>113.3</v>
      </c>
      <c r="AB71">
        <v>117.7</v>
      </c>
      <c r="AC71">
        <v>109.4</v>
      </c>
      <c r="AD71">
        <v>114.2</v>
      </c>
      <c r="AE71">
        <v>120.3</v>
      </c>
    </row>
    <row r="72" spans="1:31" hidden="1" x14ac:dyDescent="0.3">
      <c r="A72" t="s">
        <v>33</v>
      </c>
      <c r="B72">
        <v>2014</v>
      </c>
      <c r="C72" t="s">
        <v>46</v>
      </c>
      <c r="D72">
        <v>124</v>
      </c>
      <c r="E72">
        <v>124.7</v>
      </c>
      <c r="F72">
        <v>126.3</v>
      </c>
      <c r="G72">
        <v>124.9</v>
      </c>
      <c r="H72">
        <v>103</v>
      </c>
      <c r="I72">
        <v>122.3</v>
      </c>
      <c r="J72">
        <v>141</v>
      </c>
      <c r="K72">
        <v>120.1</v>
      </c>
      <c r="L72">
        <v>97.8</v>
      </c>
      <c r="M72">
        <v>125.4</v>
      </c>
      <c r="N72">
        <v>116.1</v>
      </c>
      <c r="O72">
        <v>127.6</v>
      </c>
      <c r="Q72">
        <v>124</v>
      </c>
      <c r="R72">
        <v>126.4</v>
      </c>
      <c r="S72">
        <v>120.7</v>
      </c>
      <c r="T72">
        <v>115.8</v>
      </c>
      <c r="U72">
        <v>120</v>
      </c>
      <c r="V72">
        <v>116.5</v>
      </c>
      <c r="W72">
        <v>113</v>
      </c>
      <c r="X72">
        <v>116.8</v>
      </c>
      <c r="Y72">
        <v>113.2</v>
      </c>
      <c r="Z72">
        <v>108.8</v>
      </c>
      <c r="AA72">
        <v>114.3</v>
      </c>
      <c r="AB72">
        <v>120.7</v>
      </c>
      <c r="AC72">
        <v>110.4</v>
      </c>
      <c r="AD72">
        <v>113.4</v>
      </c>
      <c r="AE72">
        <v>118.4</v>
      </c>
    </row>
    <row r="73" spans="1:31" hidden="1" x14ac:dyDescent="0.3">
      <c r="A73" t="s">
        <v>34</v>
      </c>
      <c r="B73">
        <v>2014</v>
      </c>
      <c r="C73" t="s">
        <v>46</v>
      </c>
      <c r="D73">
        <v>122.9</v>
      </c>
      <c r="E73">
        <v>123.2</v>
      </c>
      <c r="F73">
        <v>123.5</v>
      </c>
      <c r="G73">
        <v>124.5</v>
      </c>
      <c r="H73">
        <v>107.6</v>
      </c>
      <c r="I73">
        <v>125.7</v>
      </c>
      <c r="J73">
        <v>140.5</v>
      </c>
      <c r="K73">
        <v>117.6</v>
      </c>
      <c r="L73">
        <v>100.6</v>
      </c>
      <c r="M73">
        <v>119.1</v>
      </c>
      <c r="N73">
        <v>116.8</v>
      </c>
      <c r="O73">
        <v>126.1</v>
      </c>
      <c r="Q73">
        <v>123.6</v>
      </c>
      <c r="R73">
        <v>123</v>
      </c>
      <c r="S73">
        <v>122.6</v>
      </c>
      <c r="T73">
        <v>118.6</v>
      </c>
      <c r="U73">
        <v>122</v>
      </c>
      <c r="V73">
        <v>116.5</v>
      </c>
      <c r="W73">
        <v>115.7</v>
      </c>
      <c r="X73">
        <v>117.5</v>
      </c>
      <c r="Y73">
        <v>115.1</v>
      </c>
      <c r="Z73">
        <v>110.1</v>
      </c>
      <c r="AA73">
        <v>113.9</v>
      </c>
      <c r="AB73">
        <v>119.5</v>
      </c>
      <c r="AC73">
        <v>109.8</v>
      </c>
      <c r="AD73">
        <v>113.8</v>
      </c>
      <c r="AE73">
        <v>119.4</v>
      </c>
    </row>
    <row r="74" spans="1:31"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Q74">
        <v>122.8</v>
      </c>
      <c r="R74">
        <v>122.7</v>
      </c>
      <c r="S74">
        <v>124.4</v>
      </c>
      <c r="T74">
        <v>121.6</v>
      </c>
      <c r="U74">
        <v>124</v>
      </c>
      <c r="V74" t="s">
        <v>32</v>
      </c>
      <c r="W74">
        <v>118.4</v>
      </c>
      <c r="X74">
        <v>118.9</v>
      </c>
      <c r="Y74">
        <v>116.6</v>
      </c>
      <c r="Z74">
        <v>111</v>
      </c>
      <c r="AA74">
        <v>114</v>
      </c>
      <c r="AB74">
        <v>118.2</v>
      </c>
      <c r="AC74">
        <v>110.2</v>
      </c>
      <c r="AD74">
        <v>114.5</v>
      </c>
      <c r="AE74">
        <v>120.3</v>
      </c>
    </row>
    <row r="75" spans="1:31" hidden="1" x14ac:dyDescent="0.3">
      <c r="A75" t="s">
        <v>33</v>
      </c>
      <c r="B75">
        <v>2015</v>
      </c>
      <c r="C75" t="s">
        <v>31</v>
      </c>
      <c r="D75">
        <v>124</v>
      </c>
      <c r="E75">
        <v>125.5</v>
      </c>
      <c r="F75">
        <v>126.6</v>
      </c>
      <c r="G75">
        <v>125.2</v>
      </c>
      <c r="H75">
        <v>104.3</v>
      </c>
      <c r="I75">
        <v>121.3</v>
      </c>
      <c r="J75">
        <v>134.4</v>
      </c>
      <c r="K75">
        <v>122.9</v>
      </c>
      <c r="L75">
        <v>96.1</v>
      </c>
      <c r="M75">
        <v>126.6</v>
      </c>
      <c r="N75">
        <v>116.5</v>
      </c>
      <c r="O75">
        <v>128</v>
      </c>
      <c r="Q75">
        <v>123.5</v>
      </c>
      <c r="R75">
        <v>127.4</v>
      </c>
      <c r="S75">
        <v>121</v>
      </c>
      <c r="T75">
        <v>116.1</v>
      </c>
      <c r="U75">
        <v>120.2</v>
      </c>
      <c r="V75">
        <v>117.3</v>
      </c>
      <c r="W75">
        <v>113.4</v>
      </c>
      <c r="X75">
        <v>117.2</v>
      </c>
      <c r="Y75">
        <v>113.7</v>
      </c>
      <c r="Z75">
        <v>107.9</v>
      </c>
      <c r="AA75">
        <v>114.6</v>
      </c>
      <c r="AB75">
        <v>120.8</v>
      </c>
      <c r="AC75">
        <v>111.4</v>
      </c>
      <c r="AD75">
        <v>113.4</v>
      </c>
      <c r="AE75">
        <v>118.5</v>
      </c>
    </row>
    <row r="76" spans="1:31" hidden="1" x14ac:dyDescent="0.3">
      <c r="A76" t="s">
        <v>34</v>
      </c>
      <c r="B76">
        <v>2015</v>
      </c>
      <c r="C76" t="s">
        <v>31</v>
      </c>
      <c r="D76">
        <v>123.4</v>
      </c>
      <c r="E76">
        <v>123.9</v>
      </c>
      <c r="F76">
        <v>123.8</v>
      </c>
      <c r="G76">
        <v>125</v>
      </c>
      <c r="H76">
        <v>108.5</v>
      </c>
      <c r="I76">
        <v>126.2</v>
      </c>
      <c r="J76">
        <v>133</v>
      </c>
      <c r="K76">
        <v>119.1</v>
      </c>
      <c r="L76">
        <v>99</v>
      </c>
      <c r="M76">
        <v>120.3</v>
      </c>
      <c r="N76">
        <v>117.3</v>
      </c>
      <c r="O76">
        <v>126.7</v>
      </c>
      <c r="Q76">
        <v>123.1</v>
      </c>
      <c r="R76">
        <v>124</v>
      </c>
      <c r="S76">
        <v>123.1</v>
      </c>
      <c r="T76">
        <v>119.3</v>
      </c>
      <c r="U76">
        <v>122.5</v>
      </c>
      <c r="V76">
        <v>117.3</v>
      </c>
      <c r="W76">
        <v>116.5</v>
      </c>
      <c r="X76">
        <v>118.1</v>
      </c>
      <c r="Y76">
        <v>115.5</v>
      </c>
      <c r="Z76">
        <v>109.4</v>
      </c>
      <c r="AA76">
        <v>114.3</v>
      </c>
      <c r="AB76">
        <v>119.7</v>
      </c>
      <c r="AC76">
        <v>110.7</v>
      </c>
      <c r="AD76">
        <v>114</v>
      </c>
      <c r="AE76">
        <v>119.5</v>
      </c>
    </row>
    <row r="77" spans="1:31"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Q77">
        <v>122.8</v>
      </c>
      <c r="R77">
        <v>124.2</v>
      </c>
      <c r="S77">
        <v>125.4</v>
      </c>
      <c r="T77">
        <v>122.7</v>
      </c>
      <c r="U77">
        <v>125</v>
      </c>
      <c r="V77" t="s">
        <v>32</v>
      </c>
      <c r="W77">
        <v>120</v>
      </c>
      <c r="X77">
        <v>119.6</v>
      </c>
      <c r="Y77">
        <v>117.7</v>
      </c>
      <c r="Z77">
        <v>110.9</v>
      </c>
      <c r="AA77">
        <v>114.8</v>
      </c>
      <c r="AB77">
        <v>118.7</v>
      </c>
      <c r="AC77">
        <v>110.8</v>
      </c>
      <c r="AD77">
        <v>115</v>
      </c>
      <c r="AE77">
        <v>120.6</v>
      </c>
    </row>
    <row r="78" spans="1:31"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Q78">
        <v>123.7</v>
      </c>
      <c r="R78">
        <v>128.1</v>
      </c>
      <c r="S78">
        <v>121.3</v>
      </c>
      <c r="T78">
        <v>116.5</v>
      </c>
      <c r="U78">
        <v>120.6</v>
      </c>
      <c r="V78">
        <v>118.1</v>
      </c>
      <c r="W78">
        <v>114</v>
      </c>
      <c r="X78">
        <v>117.7</v>
      </c>
      <c r="Y78">
        <v>114.1</v>
      </c>
      <c r="Z78">
        <v>106.8</v>
      </c>
      <c r="AA78">
        <v>114.9</v>
      </c>
      <c r="AB78">
        <v>120.4</v>
      </c>
      <c r="AC78">
        <v>111.7</v>
      </c>
      <c r="AD78">
        <v>113.2</v>
      </c>
      <c r="AE78">
        <v>118.7</v>
      </c>
    </row>
    <row r="79" spans="1:31" hidden="1" x14ac:dyDescent="0.3">
      <c r="A79" t="s">
        <v>34</v>
      </c>
      <c r="B79">
        <v>2015</v>
      </c>
      <c r="C79" t="s">
        <v>35</v>
      </c>
      <c r="D79">
        <v>123.7</v>
      </c>
      <c r="E79">
        <v>125.1</v>
      </c>
      <c r="F79">
        <v>121.1</v>
      </c>
      <c r="G79">
        <v>125.7</v>
      </c>
      <c r="H79">
        <v>109.1</v>
      </c>
      <c r="I79">
        <v>125.8</v>
      </c>
      <c r="J79">
        <v>129.4</v>
      </c>
      <c r="K79">
        <v>120.9</v>
      </c>
      <c r="L79">
        <v>98.3</v>
      </c>
      <c r="M79">
        <v>121.6</v>
      </c>
      <c r="N79">
        <v>118</v>
      </c>
      <c r="O79">
        <v>127.6</v>
      </c>
      <c r="Q79">
        <v>123.1</v>
      </c>
      <c r="R79">
        <v>125.2</v>
      </c>
      <c r="S79">
        <v>123.8</v>
      </c>
      <c r="T79">
        <v>120.1</v>
      </c>
      <c r="U79">
        <v>123.3</v>
      </c>
      <c r="V79">
        <v>118.1</v>
      </c>
      <c r="W79">
        <v>117.7</v>
      </c>
      <c r="X79">
        <v>118.7</v>
      </c>
      <c r="Y79">
        <v>116.3</v>
      </c>
      <c r="Z79">
        <v>108.7</v>
      </c>
      <c r="AA79">
        <v>114.9</v>
      </c>
      <c r="AB79">
        <v>119.7</v>
      </c>
      <c r="AC79">
        <v>111.2</v>
      </c>
      <c r="AD79">
        <v>114.1</v>
      </c>
      <c r="AE79">
        <v>119.7</v>
      </c>
    </row>
    <row r="80" spans="1:31" hidden="1" x14ac:dyDescent="0.3">
      <c r="A80" t="s">
        <v>30</v>
      </c>
      <c r="B80">
        <v>2015</v>
      </c>
      <c r="C80" t="s">
        <v>36</v>
      </c>
      <c r="D80">
        <v>123.3</v>
      </c>
      <c r="E80">
        <v>124.7</v>
      </c>
      <c r="F80">
        <v>118.9</v>
      </c>
      <c r="G80">
        <v>126</v>
      </c>
      <c r="H80">
        <v>111.8</v>
      </c>
      <c r="I80">
        <v>130.9</v>
      </c>
      <c r="J80">
        <v>128</v>
      </c>
      <c r="K80">
        <v>119.9</v>
      </c>
      <c r="L80">
        <v>98.9</v>
      </c>
      <c r="M80">
        <v>119.4</v>
      </c>
      <c r="N80">
        <v>118.9</v>
      </c>
      <c r="O80">
        <v>127.7</v>
      </c>
      <c r="Q80">
        <v>123.1</v>
      </c>
      <c r="R80">
        <v>124.7</v>
      </c>
      <c r="S80">
        <v>126</v>
      </c>
      <c r="T80">
        <v>122.9</v>
      </c>
      <c r="U80">
        <v>125.5</v>
      </c>
      <c r="V80" t="s">
        <v>32</v>
      </c>
      <c r="W80">
        <v>120.6</v>
      </c>
      <c r="X80">
        <v>120.2</v>
      </c>
      <c r="Y80">
        <v>118.2</v>
      </c>
      <c r="Z80">
        <v>111.6</v>
      </c>
      <c r="AA80">
        <v>115.5</v>
      </c>
      <c r="AB80">
        <v>119.4</v>
      </c>
      <c r="AC80">
        <v>110.8</v>
      </c>
      <c r="AD80">
        <v>115.5</v>
      </c>
      <c r="AE80">
        <v>121.1</v>
      </c>
    </row>
    <row r="81" spans="1:31"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row>
    <row r="82" spans="1:31"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Q82">
        <v>123.4</v>
      </c>
      <c r="R82">
        <v>125.8</v>
      </c>
      <c r="S82">
        <v>124.3</v>
      </c>
      <c r="T82">
        <v>120.4</v>
      </c>
      <c r="U82">
        <v>123.7</v>
      </c>
      <c r="V82">
        <v>118.6</v>
      </c>
      <c r="W82">
        <v>118.3</v>
      </c>
      <c r="X82">
        <v>119.2</v>
      </c>
      <c r="Y82">
        <v>116.7</v>
      </c>
      <c r="Z82">
        <v>109.9</v>
      </c>
      <c r="AA82">
        <v>115.4</v>
      </c>
      <c r="AB82">
        <v>120.1</v>
      </c>
      <c r="AC82">
        <v>111</v>
      </c>
      <c r="AD82">
        <v>114.7</v>
      </c>
      <c r="AE82">
        <v>120.2</v>
      </c>
    </row>
    <row r="83" spans="1:31"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Q83">
        <v>123.6</v>
      </c>
      <c r="R83">
        <v>125.7</v>
      </c>
      <c r="S83">
        <v>126.4</v>
      </c>
      <c r="T83">
        <v>123.3</v>
      </c>
      <c r="U83">
        <v>126</v>
      </c>
      <c r="V83" t="s">
        <v>32</v>
      </c>
      <c r="W83">
        <v>121.2</v>
      </c>
      <c r="X83">
        <v>120.9</v>
      </c>
      <c r="Y83">
        <v>118.6</v>
      </c>
      <c r="Z83">
        <v>111.9</v>
      </c>
      <c r="AA83">
        <v>116.2</v>
      </c>
      <c r="AB83">
        <v>119.9</v>
      </c>
      <c r="AC83">
        <v>111.6</v>
      </c>
      <c r="AD83">
        <v>116</v>
      </c>
      <c r="AE83">
        <v>121.5</v>
      </c>
    </row>
    <row r="84" spans="1:31"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Q84">
        <v>124.6</v>
      </c>
      <c r="R84">
        <v>130.1</v>
      </c>
      <c r="S84">
        <v>122.1</v>
      </c>
      <c r="T84">
        <v>117.2</v>
      </c>
      <c r="U84">
        <v>121.3</v>
      </c>
      <c r="V84">
        <v>119.2</v>
      </c>
      <c r="W84">
        <v>114.7</v>
      </c>
      <c r="X84">
        <v>118.4</v>
      </c>
      <c r="Y84">
        <v>114.6</v>
      </c>
      <c r="Z84">
        <v>108.4</v>
      </c>
      <c r="AA84">
        <v>115.6</v>
      </c>
      <c r="AB84">
        <v>121.7</v>
      </c>
      <c r="AC84">
        <v>111.8</v>
      </c>
      <c r="AD84">
        <v>114.2</v>
      </c>
      <c r="AE84">
        <v>119.7</v>
      </c>
    </row>
    <row r="85" spans="1:31" hidden="1" x14ac:dyDescent="0.3">
      <c r="A85" t="s">
        <v>34</v>
      </c>
      <c r="B85">
        <v>2015</v>
      </c>
      <c r="C85" t="s">
        <v>37</v>
      </c>
      <c r="D85">
        <v>123.5</v>
      </c>
      <c r="E85">
        <v>126.4</v>
      </c>
      <c r="F85">
        <v>114.4</v>
      </c>
      <c r="G85">
        <v>126.6</v>
      </c>
      <c r="H85">
        <v>109.2</v>
      </c>
      <c r="I85">
        <v>132.5</v>
      </c>
      <c r="J85">
        <v>128.6</v>
      </c>
      <c r="K85">
        <v>124.8</v>
      </c>
      <c r="L85">
        <v>95.7</v>
      </c>
      <c r="M85">
        <v>122.4</v>
      </c>
      <c r="N85">
        <v>118.5</v>
      </c>
      <c r="O85">
        <v>129.1</v>
      </c>
      <c r="Q85">
        <v>124</v>
      </c>
      <c r="R85">
        <v>126.9</v>
      </c>
      <c r="S85">
        <v>124.7</v>
      </c>
      <c r="T85">
        <v>120.8</v>
      </c>
      <c r="U85">
        <v>124.1</v>
      </c>
      <c r="V85">
        <v>119.2</v>
      </c>
      <c r="W85">
        <v>118.7</v>
      </c>
      <c r="X85">
        <v>119.7</v>
      </c>
      <c r="Y85">
        <v>117.1</v>
      </c>
      <c r="Z85">
        <v>110.1</v>
      </c>
      <c r="AA85">
        <v>115.9</v>
      </c>
      <c r="AB85">
        <v>121</v>
      </c>
      <c r="AC85">
        <v>111.7</v>
      </c>
      <c r="AD85">
        <v>115.1</v>
      </c>
      <c r="AE85">
        <v>120.7</v>
      </c>
    </row>
    <row r="86" spans="1:31"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Q86">
        <v>124.4</v>
      </c>
      <c r="R86">
        <v>126.7</v>
      </c>
      <c r="S86">
        <v>127.3</v>
      </c>
      <c r="T86">
        <v>124.1</v>
      </c>
      <c r="U86">
        <v>126.8</v>
      </c>
      <c r="V86" t="s">
        <v>32</v>
      </c>
      <c r="W86">
        <v>121.9</v>
      </c>
      <c r="X86">
        <v>121.5</v>
      </c>
      <c r="Y86">
        <v>119.4</v>
      </c>
      <c r="Z86">
        <v>113.3</v>
      </c>
      <c r="AA86">
        <v>116.7</v>
      </c>
      <c r="AB86">
        <v>120.5</v>
      </c>
      <c r="AC86">
        <v>112.3</v>
      </c>
      <c r="AD86">
        <v>116.9</v>
      </c>
      <c r="AE86">
        <v>122.4</v>
      </c>
    </row>
    <row r="87" spans="1:31"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Q87">
        <v>126.1</v>
      </c>
      <c r="R87">
        <v>131.30000000000001</v>
      </c>
      <c r="S87">
        <v>122.4</v>
      </c>
      <c r="T87">
        <v>117.4</v>
      </c>
      <c r="U87">
        <v>121.6</v>
      </c>
      <c r="V87">
        <v>119.6</v>
      </c>
      <c r="W87">
        <v>114.9</v>
      </c>
      <c r="X87">
        <v>118.7</v>
      </c>
      <c r="Y87">
        <v>114.9</v>
      </c>
      <c r="Z87">
        <v>110.8</v>
      </c>
      <c r="AA87">
        <v>116</v>
      </c>
      <c r="AB87">
        <v>122</v>
      </c>
      <c r="AC87">
        <v>112.4</v>
      </c>
      <c r="AD87">
        <v>115.2</v>
      </c>
      <c r="AE87">
        <v>120.7</v>
      </c>
    </row>
    <row r="88" spans="1:31"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Q88">
        <v>125</v>
      </c>
      <c r="R88">
        <v>127.9</v>
      </c>
      <c r="S88">
        <v>125.4</v>
      </c>
      <c r="T88">
        <v>121.3</v>
      </c>
      <c r="U88">
        <v>124.7</v>
      </c>
      <c r="V88">
        <v>119.6</v>
      </c>
      <c r="W88">
        <v>119.2</v>
      </c>
      <c r="X88">
        <v>120.2</v>
      </c>
      <c r="Y88">
        <v>117.7</v>
      </c>
      <c r="Z88">
        <v>112</v>
      </c>
      <c r="AA88">
        <v>116.3</v>
      </c>
      <c r="AB88">
        <v>121.4</v>
      </c>
      <c r="AC88">
        <v>112.3</v>
      </c>
      <c r="AD88">
        <v>116.1</v>
      </c>
      <c r="AE88">
        <v>121.6</v>
      </c>
    </row>
    <row r="89" spans="1:31"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Q89">
        <v>126.6</v>
      </c>
      <c r="R89">
        <v>128.19999999999999</v>
      </c>
      <c r="S89">
        <v>128.4</v>
      </c>
      <c r="T89">
        <v>125.1</v>
      </c>
      <c r="U89">
        <v>128</v>
      </c>
      <c r="V89" t="s">
        <v>32</v>
      </c>
      <c r="W89">
        <v>122.6</v>
      </c>
      <c r="X89">
        <v>122.8</v>
      </c>
      <c r="Y89">
        <v>120.4</v>
      </c>
      <c r="Z89">
        <v>114.2</v>
      </c>
      <c r="AA89">
        <v>117.9</v>
      </c>
      <c r="AB89">
        <v>122</v>
      </c>
      <c r="AC89">
        <v>113</v>
      </c>
      <c r="AD89">
        <v>117.9</v>
      </c>
      <c r="AE89">
        <v>124.1</v>
      </c>
    </row>
    <row r="90" spans="1:31"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Q90">
        <v>128.5</v>
      </c>
      <c r="R90">
        <v>132.1</v>
      </c>
      <c r="S90">
        <v>123.2</v>
      </c>
      <c r="T90">
        <v>117.6</v>
      </c>
      <c r="U90">
        <v>122.3</v>
      </c>
      <c r="V90">
        <v>119</v>
      </c>
      <c r="W90">
        <v>115.1</v>
      </c>
      <c r="X90">
        <v>119.2</v>
      </c>
      <c r="Y90">
        <v>115.4</v>
      </c>
      <c r="Z90">
        <v>111.7</v>
      </c>
      <c r="AA90">
        <v>116.2</v>
      </c>
      <c r="AB90">
        <v>123.8</v>
      </c>
      <c r="AC90">
        <v>112.5</v>
      </c>
      <c r="AD90">
        <v>116</v>
      </c>
      <c r="AE90">
        <v>121.7</v>
      </c>
    </row>
    <row r="91" spans="1:31"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Q91">
        <v>127.3</v>
      </c>
      <c r="R91">
        <v>129.19999999999999</v>
      </c>
      <c r="S91">
        <v>126.4</v>
      </c>
      <c r="T91">
        <v>122</v>
      </c>
      <c r="U91">
        <v>125.7</v>
      </c>
      <c r="V91">
        <v>119</v>
      </c>
      <c r="W91">
        <v>119.8</v>
      </c>
      <c r="X91">
        <v>121.1</v>
      </c>
      <c r="Y91">
        <v>118.5</v>
      </c>
      <c r="Z91">
        <v>112.9</v>
      </c>
      <c r="AA91">
        <v>116.9</v>
      </c>
      <c r="AB91">
        <v>123.1</v>
      </c>
      <c r="AC91">
        <v>112.8</v>
      </c>
      <c r="AD91">
        <v>117</v>
      </c>
      <c r="AE91">
        <v>123</v>
      </c>
    </row>
    <row r="92" spans="1:31"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Q92">
        <v>127.5</v>
      </c>
      <c r="R92">
        <v>129.4</v>
      </c>
      <c r="S92">
        <v>128.80000000000001</v>
      </c>
      <c r="T92">
        <v>125.5</v>
      </c>
      <c r="U92">
        <v>128.30000000000001</v>
      </c>
      <c r="V92" t="s">
        <v>32</v>
      </c>
      <c r="W92">
        <v>123</v>
      </c>
      <c r="X92">
        <v>123</v>
      </c>
      <c r="Y92">
        <v>120.8</v>
      </c>
      <c r="Z92">
        <v>114.1</v>
      </c>
      <c r="AA92">
        <v>118</v>
      </c>
      <c r="AB92">
        <v>122.9</v>
      </c>
      <c r="AC92">
        <v>112.7</v>
      </c>
      <c r="AD92">
        <v>118.1</v>
      </c>
      <c r="AE92">
        <v>124.7</v>
      </c>
    </row>
    <row r="93" spans="1:31"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Q93">
        <v>129.5</v>
      </c>
      <c r="R93">
        <v>133.1</v>
      </c>
      <c r="S93">
        <v>123.5</v>
      </c>
      <c r="T93">
        <v>117.9</v>
      </c>
      <c r="U93">
        <v>122.7</v>
      </c>
      <c r="V93">
        <v>119.9</v>
      </c>
      <c r="W93">
        <v>115.3</v>
      </c>
      <c r="X93">
        <v>119.5</v>
      </c>
      <c r="Y93">
        <v>116</v>
      </c>
      <c r="Z93">
        <v>111.5</v>
      </c>
      <c r="AA93">
        <v>116.6</v>
      </c>
      <c r="AB93">
        <v>125.4</v>
      </c>
      <c r="AC93">
        <v>111.7</v>
      </c>
      <c r="AD93">
        <v>116.3</v>
      </c>
      <c r="AE93">
        <v>122.4</v>
      </c>
    </row>
    <row r="94" spans="1:31"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Q94">
        <v>128.19999999999999</v>
      </c>
      <c r="R94">
        <v>130.4</v>
      </c>
      <c r="S94">
        <v>126.7</v>
      </c>
      <c r="T94">
        <v>122.3</v>
      </c>
      <c r="U94">
        <v>126.1</v>
      </c>
      <c r="V94">
        <v>119.9</v>
      </c>
      <c r="W94">
        <v>120.1</v>
      </c>
      <c r="X94">
        <v>121.3</v>
      </c>
      <c r="Y94">
        <v>119</v>
      </c>
      <c r="Z94">
        <v>112.7</v>
      </c>
      <c r="AA94">
        <v>117.2</v>
      </c>
      <c r="AB94">
        <v>124.4</v>
      </c>
      <c r="AC94">
        <v>112.3</v>
      </c>
      <c r="AD94">
        <v>117.2</v>
      </c>
      <c r="AE94">
        <v>123.6</v>
      </c>
    </row>
    <row r="95" spans="1:31"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Q95">
        <v>129.80000000000001</v>
      </c>
      <c r="R95">
        <v>130.1</v>
      </c>
      <c r="S95">
        <v>129.5</v>
      </c>
      <c r="T95">
        <v>126.3</v>
      </c>
      <c r="U95">
        <v>129</v>
      </c>
      <c r="V95" t="s">
        <v>32</v>
      </c>
      <c r="W95">
        <v>123.8</v>
      </c>
      <c r="X95">
        <v>123.7</v>
      </c>
      <c r="Y95">
        <v>121.1</v>
      </c>
      <c r="Z95">
        <v>113.6</v>
      </c>
      <c r="AA95">
        <v>118.5</v>
      </c>
      <c r="AB95">
        <v>123.6</v>
      </c>
      <c r="AC95">
        <v>112.5</v>
      </c>
      <c r="AD95">
        <v>118.2</v>
      </c>
      <c r="AE95">
        <v>126.1</v>
      </c>
    </row>
    <row r="96" spans="1:31"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row>
    <row r="97" spans="1:31"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row>
    <row r="98" spans="1:31"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Q98">
        <v>131</v>
      </c>
      <c r="R98">
        <v>131</v>
      </c>
      <c r="S98">
        <v>130.4</v>
      </c>
      <c r="T98">
        <v>126.8</v>
      </c>
      <c r="U98">
        <v>129.9</v>
      </c>
      <c r="V98" t="s">
        <v>32</v>
      </c>
      <c r="W98">
        <v>123.7</v>
      </c>
      <c r="X98">
        <v>124.5</v>
      </c>
      <c r="Y98">
        <v>121.4</v>
      </c>
      <c r="Z98">
        <v>113.8</v>
      </c>
      <c r="AA98">
        <v>119.6</v>
      </c>
      <c r="AB98">
        <v>124.5</v>
      </c>
      <c r="AC98">
        <v>113.7</v>
      </c>
      <c r="AD98">
        <v>118.8</v>
      </c>
      <c r="AE98">
        <v>127</v>
      </c>
    </row>
    <row r="99" spans="1:31"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row>
    <row r="100" spans="1:31"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row>
    <row r="101" spans="1:31"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Q101">
        <v>131.80000000000001</v>
      </c>
      <c r="R101">
        <v>131.5</v>
      </c>
      <c r="S101">
        <v>131.1</v>
      </c>
      <c r="T101">
        <v>127.3</v>
      </c>
      <c r="U101">
        <v>130.6</v>
      </c>
      <c r="V101" t="s">
        <v>32</v>
      </c>
      <c r="W101">
        <v>124.4</v>
      </c>
      <c r="X101">
        <v>125.1</v>
      </c>
      <c r="Y101">
        <v>122</v>
      </c>
      <c r="Z101">
        <v>113.8</v>
      </c>
      <c r="AA101">
        <v>120.1</v>
      </c>
      <c r="AB101">
        <v>125.1</v>
      </c>
      <c r="AC101">
        <v>114.2</v>
      </c>
      <c r="AD101">
        <v>119.2</v>
      </c>
      <c r="AE101">
        <v>127.7</v>
      </c>
    </row>
    <row r="102" spans="1:31"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row>
    <row r="103" spans="1:31"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Q103">
        <v>132.1</v>
      </c>
      <c r="R103">
        <v>132.5</v>
      </c>
      <c r="S103">
        <v>128.5</v>
      </c>
      <c r="T103">
        <v>123.8</v>
      </c>
      <c r="U103">
        <v>127.8</v>
      </c>
      <c r="V103">
        <v>122.4</v>
      </c>
      <c r="W103">
        <v>120.8</v>
      </c>
      <c r="X103">
        <v>123</v>
      </c>
      <c r="Y103">
        <v>120.4</v>
      </c>
      <c r="Z103">
        <v>111.4</v>
      </c>
      <c r="AA103">
        <v>118.7</v>
      </c>
      <c r="AB103">
        <v>125.9</v>
      </c>
      <c r="AC103">
        <v>113.9</v>
      </c>
      <c r="AD103">
        <v>117.9</v>
      </c>
      <c r="AE103">
        <v>126.1</v>
      </c>
    </row>
    <row r="104" spans="1:31"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Q104">
        <v>132.4</v>
      </c>
      <c r="R104">
        <v>132.19999999999999</v>
      </c>
      <c r="S104">
        <v>132.1</v>
      </c>
      <c r="T104">
        <v>128.19999999999999</v>
      </c>
      <c r="U104">
        <v>131.5</v>
      </c>
      <c r="V104" t="s">
        <v>32</v>
      </c>
      <c r="W104">
        <v>125.6</v>
      </c>
      <c r="X104">
        <v>125.6</v>
      </c>
      <c r="Y104">
        <v>122.6</v>
      </c>
      <c r="Z104">
        <v>114</v>
      </c>
      <c r="AA104">
        <v>120.9</v>
      </c>
      <c r="AB104">
        <v>125.8</v>
      </c>
      <c r="AC104">
        <v>114.2</v>
      </c>
      <c r="AD104">
        <v>119.6</v>
      </c>
      <c r="AE104">
        <v>128.30000000000001</v>
      </c>
    </row>
    <row r="105" spans="1:31"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row>
    <row r="106" spans="1:31"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row>
    <row r="107" spans="1:31"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Q107">
        <v>131.4</v>
      </c>
      <c r="R107">
        <v>133.1</v>
      </c>
      <c r="S107">
        <v>132.5</v>
      </c>
      <c r="T107">
        <v>128.5</v>
      </c>
      <c r="U107">
        <v>131.9</v>
      </c>
      <c r="V107" t="s">
        <v>32</v>
      </c>
      <c r="W107">
        <v>125.7</v>
      </c>
      <c r="X107">
        <v>126</v>
      </c>
      <c r="Y107">
        <v>123.1</v>
      </c>
      <c r="Z107">
        <v>114</v>
      </c>
      <c r="AA107">
        <v>121.6</v>
      </c>
      <c r="AB107">
        <v>125.6</v>
      </c>
      <c r="AC107">
        <v>114.1</v>
      </c>
      <c r="AD107">
        <v>119.8</v>
      </c>
      <c r="AE107">
        <v>127.9</v>
      </c>
    </row>
    <row r="108" spans="1:31"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row>
    <row r="109" spans="1:31"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row>
    <row r="110" spans="1:31"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Q110">
        <v>131.4</v>
      </c>
      <c r="R110">
        <v>133.6</v>
      </c>
      <c r="S110">
        <v>133.19999999999999</v>
      </c>
      <c r="T110">
        <v>128.9</v>
      </c>
      <c r="U110">
        <v>132.6</v>
      </c>
      <c r="V110" t="s">
        <v>32</v>
      </c>
      <c r="W110">
        <v>126.2</v>
      </c>
      <c r="X110">
        <v>126.6</v>
      </c>
      <c r="Y110">
        <v>123.7</v>
      </c>
      <c r="Z110">
        <v>113.6</v>
      </c>
      <c r="AA110">
        <v>121.4</v>
      </c>
      <c r="AB110">
        <v>126.2</v>
      </c>
      <c r="AC110">
        <v>114.9</v>
      </c>
      <c r="AD110">
        <v>120.1</v>
      </c>
      <c r="AE110">
        <v>128.1</v>
      </c>
    </row>
    <row r="111" spans="1:31"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row>
    <row r="112" spans="1:31"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row>
    <row r="113" spans="1:31"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Q113">
        <v>130.30000000000001</v>
      </c>
      <c r="R113">
        <v>134.4</v>
      </c>
      <c r="S113">
        <v>133.9</v>
      </c>
      <c r="T113">
        <v>129.80000000000001</v>
      </c>
      <c r="U113">
        <v>133.4</v>
      </c>
      <c r="V113" t="s">
        <v>32</v>
      </c>
      <c r="W113">
        <v>127.5</v>
      </c>
      <c r="X113">
        <v>127.1</v>
      </c>
      <c r="Y113">
        <v>124.3</v>
      </c>
      <c r="Z113">
        <v>113.9</v>
      </c>
      <c r="AA113">
        <v>122.3</v>
      </c>
      <c r="AB113">
        <v>127.1</v>
      </c>
      <c r="AC113">
        <v>116.8</v>
      </c>
      <c r="AD113">
        <v>120.9</v>
      </c>
      <c r="AE113">
        <v>127.9</v>
      </c>
    </row>
    <row r="114" spans="1:31"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row>
    <row r="115" spans="1:31"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row>
    <row r="116" spans="1:31"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Q116">
        <v>130.4</v>
      </c>
      <c r="R116">
        <v>135</v>
      </c>
      <c r="S116">
        <v>134.4</v>
      </c>
      <c r="T116">
        <v>130.19999999999999</v>
      </c>
      <c r="U116">
        <v>133.80000000000001</v>
      </c>
      <c r="V116" t="s">
        <v>32</v>
      </c>
      <c r="W116">
        <v>127</v>
      </c>
      <c r="X116">
        <v>127.7</v>
      </c>
      <c r="Y116">
        <v>124.8</v>
      </c>
      <c r="Z116">
        <v>113.6</v>
      </c>
      <c r="AA116">
        <v>122.5</v>
      </c>
      <c r="AB116">
        <v>127.5</v>
      </c>
      <c r="AC116">
        <v>117.4</v>
      </c>
      <c r="AD116">
        <v>121.1</v>
      </c>
      <c r="AE116">
        <v>128</v>
      </c>
    </row>
    <row r="117" spans="1:31"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Q117">
        <v>128.9</v>
      </c>
      <c r="R117">
        <v>140.6</v>
      </c>
      <c r="S117">
        <v>126.4</v>
      </c>
      <c r="T117">
        <v>120.3</v>
      </c>
      <c r="U117">
        <v>125.5</v>
      </c>
      <c r="V117">
        <v>124.9</v>
      </c>
      <c r="W117">
        <v>114.8</v>
      </c>
      <c r="X117">
        <v>122.3</v>
      </c>
      <c r="Y117">
        <v>119.7</v>
      </c>
      <c r="Z117">
        <v>108.5</v>
      </c>
      <c r="AA117">
        <v>119.1</v>
      </c>
      <c r="AB117">
        <v>126.4</v>
      </c>
      <c r="AC117">
        <v>117.1</v>
      </c>
      <c r="AD117">
        <v>117.3</v>
      </c>
      <c r="AE117">
        <v>123.8</v>
      </c>
    </row>
    <row r="118" spans="1:31"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row>
    <row r="119" spans="1:31"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Q119">
        <v>131.80000000000001</v>
      </c>
      <c r="R119">
        <v>135.5</v>
      </c>
      <c r="S119">
        <v>135</v>
      </c>
      <c r="T119">
        <v>130.6</v>
      </c>
      <c r="U119">
        <v>134.4</v>
      </c>
      <c r="V119" t="s">
        <v>32</v>
      </c>
      <c r="W119">
        <v>127</v>
      </c>
      <c r="X119">
        <v>128</v>
      </c>
      <c r="Y119">
        <v>125.2</v>
      </c>
      <c r="Z119">
        <v>114.4</v>
      </c>
      <c r="AA119">
        <v>123.2</v>
      </c>
      <c r="AB119">
        <v>127.9</v>
      </c>
      <c r="AC119">
        <v>118.4</v>
      </c>
      <c r="AD119">
        <v>121.7</v>
      </c>
      <c r="AE119">
        <v>129</v>
      </c>
    </row>
    <row r="120" spans="1:31"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row>
    <row r="121" spans="1:31"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row>
    <row r="122" spans="1:31"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Q122">
        <v>133.6</v>
      </c>
      <c r="R122">
        <v>136</v>
      </c>
      <c r="S122">
        <v>135.4</v>
      </c>
      <c r="T122">
        <v>131.1</v>
      </c>
      <c r="U122">
        <v>134.80000000000001</v>
      </c>
      <c r="V122" t="s">
        <v>32</v>
      </c>
      <c r="W122">
        <v>127.4</v>
      </c>
      <c r="X122">
        <v>128.5</v>
      </c>
      <c r="Y122">
        <v>125.8</v>
      </c>
      <c r="Z122">
        <v>115.1</v>
      </c>
      <c r="AA122">
        <v>123.6</v>
      </c>
      <c r="AB122">
        <v>129.1</v>
      </c>
      <c r="AC122">
        <v>119.7</v>
      </c>
      <c r="AD122">
        <v>122.5</v>
      </c>
      <c r="AE122">
        <v>130.30000000000001</v>
      </c>
    </row>
    <row r="123" spans="1:31"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row>
    <row r="124" spans="1:31"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row>
    <row r="125" spans="1:31"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Q125">
        <v>136</v>
      </c>
      <c r="R125">
        <v>137.19999999999999</v>
      </c>
      <c r="S125">
        <v>136.30000000000001</v>
      </c>
      <c r="T125">
        <v>131.6</v>
      </c>
      <c r="U125">
        <v>135.6</v>
      </c>
      <c r="V125" t="s">
        <v>32</v>
      </c>
      <c r="W125">
        <v>128</v>
      </c>
      <c r="X125">
        <v>129.30000000000001</v>
      </c>
      <c r="Y125">
        <v>126.2</v>
      </c>
      <c r="Z125">
        <v>116.3</v>
      </c>
      <c r="AA125">
        <v>124.1</v>
      </c>
      <c r="AB125">
        <v>130.19999999999999</v>
      </c>
      <c r="AC125">
        <v>119.9</v>
      </c>
      <c r="AD125">
        <v>123.3</v>
      </c>
      <c r="AE125">
        <v>131.9</v>
      </c>
    </row>
    <row r="126" spans="1:31"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row>
    <row r="127" spans="1:31"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row>
    <row r="128" spans="1:31"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Q128">
        <v>137.6</v>
      </c>
      <c r="R128">
        <v>138</v>
      </c>
      <c r="S128">
        <v>137.19999999999999</v>
      </c>
      <c r="T128">
        <v>132.19999999999999</v>
      </c>
      <c r="U128">
        <v>136.5</v>
      </c>
      <c r="V128" t="s">
        <v>32</v>
      </c>
      <c r="W128">
        <v>128.19999999999999</v>
      </c>
      <c r="X128">
        <v>130</v>
      </c>
      <c r="Y128">
        <v>126.7</v>
      </c>
      <c r="Z128">
        <v>116.4</v>
      </c>
      <c r="AA128">
        <v>125.2</v>
      </c>
      <c r="AB128">
        <v>130.80000000000001</v>
      </c>
      <c r="AC128">
        <v>120.9</v>
      </c>
      <c r="AD128">
        <v>123.8</v>
      </c>
      <c r="AE128">
        <v>133</v>
      </c>
    </row>
    <row r="129" spans="1:31"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row>
    <row r="130" spans="1:31"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row>
    <row r="131" spans="1:31"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Q131">
        <v>138</v>
      </c>
      <c r="R131">
        <v>138.9</v>
      </c>
      <c r="S131">
        <v>137.80000000000001</v>
      </c>
      <c r="T131">
        <v>133</v>
      </c>
      <c r="U131">
        <v>137.1</v>
      </c>
      <c r="V131" t="s">
        <v>32</v>
      </c>
      <c r="W131">
        <v>129.1</v>
      </c>
      <c r="X131">
        <v>130.6</v>
      </c>
      <c r="Y131">
        <v>127</v>
      </c>
      <c r="Z131">
        <v>116</v>
      </c>
      <c r="AA131">
        <v>125.5</v>
      </c>
      <c r="AB131">
        <v>131.9</v>
      </c>
      <c r="AC131">
        <v>122</v>
      </c>
      <c r="AD131">
        <v>124.2</v>
      </c>
      <c r="AE131">
        <v>133.5</v>
      </c>
    </row>
    <row r="132" spans="1:31"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row>
    <row r="133" spans="1:31"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row>
    <row r="134" spans="1:31"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Q134">
        <v>137.19999999999999</v>
      </c>
      <c r="R134">
        <v>139.9</v>
      </c>
      <c r="S134">
        <v>138.5</v>
      </c>
      <c r="T134">
        <v>133.5</v>
      </c>
      <c r="U134">
        <v>137.80000000000001</v>
      </c>
      <c r="V134" t="s">
        <v>32</v>
      </c>
      <c r="W134">
        <v>129.69999999999999</v>
      </c>
      <c r="X134">
        <v>131.1</v>
      </c>
      <c r="Y134">
        <v>127.8</v>
      </c>
      <c r="Z134">
        <v>117</v>
      </c>
      <c r="AA134">
        <v>125.7</v>
      </c>
      <c r="AB134">
        <v>132.19999999999999</v>
      </c>
      <c r="AC134">
        <v>122.8</v>
      </c>
      <c r="AD134">
        <v>124.9</v>
      </c>
      <c r="AE134">
        <v>133.4</v>
      </c>
    </row>
    <row r="135" spans="1:31"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row>
    <row r="136" spans="1:31"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row>
    <row r="137" spans="1:31"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Q137">
        <v>137.4</v>
      </c>
      <c r="R137">
        <v>140.9</v>
      </c>
      <c r="S137">
        <v>139.6</v>
      </c>
      <c r="T137">
        <v>134.30000000000001</v>
      </c>
      <c r="U137">
        <v>138.80000000000001</v>
      </c>
      <c r="V137" t="s">
        <v>32</v>
      </c>
      <c r="W137">
        <v>129.80000000000001</v>
      </c>
      <c r="X137">
        <v>131.80000000000001</v>
      </c>
      <c r="Y137">
        <v>128.69999999999999</v>
      </c>
      <c r="Z137">
        <v>117.8</v>
      </c>
      <c r="AA137">
        <v>126.5</v>
      </c>
      <c r="AB137">
        <v>133</v>
      </c>
      <c r="AC137">
        <v>123</v>
      </c>
      <c r="AD137">
        <v>125.7</v>
      </c>
      <c r="AE137">
        <v>133.80000000000001</v>
      </c>
    </row>
    <row r="138" spans="1:31"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row>
    <row r="139" spans="1:31"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row>
    <row r="140" spans="1:31"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Q140">
        <v>136.6</v>
      </c>
      <c r="R140">
        <v>141.19999999999999</v>
      </c>
      <c r="S140">
        <v>139.9</v>
      </c>
      <c r="T140">
        <v>134.5</v>
      </c>
      <c r="U140">
        <v>139.19999999999999</v>
      </c>
      <c r="V140" t="s">
        <v>32</v>
      </c>
      <c r="W140">
        <v>130.30000000000001</v>
      </c>
      <c r="X140">
        <v>132.1</v>
      </c>
      <c r="Y140">
        <v>129.1</v>
      </c>
      <c r="Z140">
        <v>118.2</v>
      </c>
      <c r="AA140">
        <v>126.9</v>
      </c>
      <c r="AB140">
        <v>133.69999999999999</v>
      </c>
      <c r="AC140">
        <v>123.5</v>
      </c>
      <c r="AD140">
        <v>126.1</v>
      </c>
      <c r="AE140">
        <v>133.6</v>
      </c>
    </row>
    <row r="141" spans="1:31"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row>
    <row r="142" spans="1:31"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row>
    <row r="143" spans="1:31"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Q143">
        <v>134.69999999999999</v>
      </c>
      <c r="R143">
        <v>142.4</v>
      </c>
      <c r="S143">
        <v>140.4</v>
      </c>
      <c r="T143">
        <v>135.19999999999999</v>
      </c>
      <c r="U143">
        <v>139.69999999999999</v>
      </c>
      <c r="V143" t="s">
        <v>32</v>
      </c>
      <c r="W143">
        <v>132</v>
      </c>
      <c r="X143">
        <v>132.9</v>
      </c>
      <c r="Y143">
        <v>129.69999999999999</v>
      </c>
      <c r="Z143">
        <v>118.6</v>
      </c>
      <c r="AA143">
        <v>127.3</v>
      </c>
      <c r="AB143">
        <v>134.19999999999999</v>
      </c>
      <c r="AC143">
        <v>121.9</v>
      </c>
      <c r="AD143">
        <v>126.3</v>
      </c>
      <c r="AE143">
        <v>132.80000000000001</v>
      </c>
    </row>
    <row r="144" spans="1:31"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row>
    <row r="145" spans="1:31"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row>
    <row r="146" spans="1:31"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Q146">
        <v>133.69999999999999</v>
      </c>
      <c r="R146">
        <v>143.1</v>
      </c>
      <c r="S146">
        <v>140.69999999999999</v>
      </c>
      <c r="T146">
        <v>135.80000000000001</v>
      </c>
      <c r="U146">
        <v>140</v>
      </c>
      <c r="V146" t="s">
        <v>32</v>
      </c>
      <c r="W146">
        <v>132.1</v>
      </c>
      <c r="X146">
        <v>133.19999999999999</v>
      </c>
      <c r="Y146">
        <v>129.9</v>
      </c>
      <c r="Z146">
        <v>119.1</v>
      </c>
      <c r="AA146">
        <v>127</v>
      </c>
      <c r="AB146">
        <v>134.6</v>
      </c>
      <c r="AC146">
        <v>122.3</v>
      </c>
      <c r="AD146">
        <v>126.6</v>
      </c>
      <c r="AE146">
        <v>132.4</v>
      </c>
    </row>
    <row r="147" spans="1:31"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row>
    <row r="148" spans="1:3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t="str">
        <f>IF(OR(B148&lt;2020,AND(B148=2020,C148&lt;&gt;"March")),"Before COVID","After COVID")</f>
        <v>Before COVID</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row>
    <row r="149" spans="1:31"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Q149">
        <v>133.6</v>
      </c>
      <c r="R149">
        <v>143.69999999999999</v>
      </c>
      <c r="S149">
        <v>140.9</v>
      </c>
      <c r="T149">
        <v>135.80000000000001</v>
      </c>
      <c r="U149">
        <v>140.19999999999999</v>
      </c>
      <c r="V149" t="s">
        <v>32</v>
      </c>
      <c r="W149">
        <v>133.19999999999999</v>
      </c>
      <c r="X149">
        <v>133.6</v>
      </c>
      <c r="Y149">
        <v>130.1</v>
      </c>
      <c r="Z149">
        <v>119.5</v>
      </c>
      <c r="AA149">
        <v>127.7</v>
      </c>
      <c r="AB149">
        <v>134.9</v>
      </c>
      <c r="AC149">
        <v>123.2</v>
      </c>
      <c r="AD149">
        <v>127</v>
      </c>
      <c r="AE149">
        <v>132.6</v>
      </c>
    </row>
    <row r="150" spans="1:31"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row>
    <row r="151" spans="1:3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t="str">
        <f>IF(OR(B151&lt;2020,AND(B151=2020,C151&lt;&gt;"March")),"Before COVID","After COVID")</f>
        <v>Before COVID</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row>
    <row r="152" spans="1:31"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Q152">
        <v>133.4</v>
      </c>
      <c r="R152">
        <v>144.19999999999999</v>
      </c>
      <c r="S152">
        <v>141.6</v>
      </c>
      <c r="T152">
        <v>136.19999999999999</v>
      </c>
      <c r="U152">
        <v>140.80000000000001</v>
      </c>
      <c r="V152" t="s">
        <v>32</v>
      </c>
      <c r="W152">
        <v>134.19999999999999</v>
      </c>
      <c r="X152">
        <v>134.1</v>
      </c>
      <c r="Y152">
        <v>130.6</v>
      </c>
      <c r="Z152">
        <v>119.8</v>
      </c>
      <c r="AA152">
        <v>128.30000000000001</v>
      </c>
      <c r="AB152">
        <v>135.19999999999999</v>
      </c>
      <c r="AC152">
        <v>123.3</v>
      </c>
      <c r="AD152">
        <v>127.4</v>
      </c>
      <c r="AE152">
        <v>132.80000000000001</v>
      </c>
    </row>
    <row r="153" spans="1:31"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row>
    <row r="154" spans="1:3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t="str">
        <f>IF(OR(B154&lt;2020,AND(B154=2020,C154&lt;&gt;"March")),"Before COVID","After COVID")</f>
        <v>Before COVID</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row>
    <row r="155" spans="1:31"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Q155">
        <v>133.5</v>
      </c>
      <c r="R155">
        <v>144.4</v>
      </c>
      <c r="S155">
        <v>142.4</v>
      </c>
      <c r="T155">
        <v>136.80000000000001</v>
      </c>
      <c r="U155">
        <v>141.6</v>
      </c>
      <c r="V155" t="s">
        <v>32</v>
      </c>
      <c r="W155">
        <v>135</v>
      </c>
      <c r="X155">
        <v>134.30000000000001</v>
      </c>
      <c r="Y155">
        <v>131</v>
      </c>
      <c r="Z155">
        <v>119.2</v>
      </c>
      <c r="AA155">
        <v>128.30000000000001</v>
      </c>
      <c r="AB155">
        <v>135.69999999999999</v>
      </c>
      <c r="AC155">
        <v>123.7</v>
      </c>
      <c r="AD155">
        <v>127.5</v>
      </c>
      <c r="AE155">
        <v>132.9</v>
      </c>
    </row>
    <row r="156" spans="1:31"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row>
    <row r="157" spans="1:3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t="str">
        <f>IF(OR(B157&lt;2020,AND(B157=2020,C157&lt;&gt;"March")),"Before COVID","After COVID")</f>
        <v>Before COVID</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row>
    <row r="158" spans="1:31"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Q158">
        <v>133.80000000000001</v>
      </c>
      <c r="R158">
        <v>145.5</v>
      </c>
      <c r="S158">
        <v>142.5</v>
      </c>
      <c r="T158">
        <v>137.30000000000001</v>
      </c>
      <c r="U158">
        <v>141.80000000000001</v>
      </c>
      <c r="V158" t="s">
        <v>32</v>
      </c>
      <c r="W158">
        <v>135</v>
      </c>
      <c r="X158">
        <v>134.9</v>
      </c>
      <c r="Y158">
        <v>131.4</v>
      </c>
      <c r="Z158">
        <v>119.4</v>
      </c>
      <c r="AA158">
        <v>129.4</v>
      </c>
      <c r="AB158">
        <v>136.30000000000001</v>
      </c>
      <c r="AC158">
        <v>123.7</v>
      </c>
      <c r="AD158">
        <v>127.9</v>
      </c>
      <c r="AE158">
        <v>133.30000000000001</v>
      </c>
    </row>
    <row r="159" spans="1:31"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row>
    <row r="160" spans="1:3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t="str">
        <f>IF(OR(B160&lt;2020,AND(B160=2020,C160&lt;&gt;"March")),"Before COVID","After COVID")</f>
        <v>Before COVID</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row>
    <row r="161" spans="1:31"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Q161">
        <v>134.9</v>
      </c>
      <c r="R161">
        <v>145.80000000000001</v>
      </c>
      <c r="S161">
        <v>143.1</v>
      </c>
      <c r="T161">
        <v>137.69999999999999</v>
      </c>
      <c r="U161">
        <v>142.30000000000001</v>
      </c>
      <c r="V161" t="s">
        <v>32</v>
      </c>
      <c r="W161">
        <v>134.80000000000001</v>
      </c>
      <c r="X161">
        <v>135.19999999999999</v>
      </c>
      <c r="Y161">
        <v>131.30000000000001</v>
      </c>
      <c r="Z161">
        <v>119.4</v>
      </c>
      <c r="AA161">
        <v>129.80000000000001</v>
      </c>
      <c r="AB161">
        <v>136.9</v>
      </c>
      <c r="AC161">
        <v>124.1</v>
      </c>
      <c r="AD161">
        <v>128.1</v>
      </c>
      <c r="AE161">
        <v>133.9</v>
      </c>
    </row>
    <row r="162" spans="1:31"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row>
    <row r="163" spans="1:3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t="str">
        <f>IF(OR(B163&lt;2020,AND(B163=2020,C163&lt;&gt;"March")),"Before COVID","After COVID")</f>
        <v>Before COVID</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row>
    <row r="164" spans="1:31"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Q164">
        <v>138.5</v>
      </c>
      <c r="R164">
        <v>147.4</v>
      </c>
      <c r="S164">
        <v>144.30000000000001</v>
      </c>
      <c r="T164">
        <v>138.1</v>
      </c>
      <c r="U164">
        <v>143.5</v>
      </c>
      <c r="V164" t="s">
        <v>32</v>
      </c>
      <c r="W164">
        <v>135.30000000000001</v>
      </c>
      <c r="X164">
        <v>136.1</v>
      </c>
      <c r="Y164">
        <v>132.1</v>
      </c>
      <c r="Z164">
        <v>119.1</v>
      </c>
      <c r="AA164">
        <v>130.6</v>
      </c>
      <c r="AB164">
        <v>138.6</v>
      </c>
      <c r="AC164">
        <v>124.4</v>
      </c>
      <c r="AD164">
        <v>128.6</v>
      </c>
      <c r="AE164">
        <v>136.19999999999999</v>
      </c>
    </row>
    <row r="165" spans="1:31"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row>
    <row r="166" spans="1:3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t="str">
        <f>IF(OR(B166&lt;2020,AND(B166=2020,C166&lt;&gt;"March")),"Before COVID","After COVID")</f>
        <v>Before COVID</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row>
    <row r="167" spans="1:31"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Q167">
        <v>140.6</v>
      </c>
      <c r="R167">
        <v>149</v>
      </c>
      <c r="S167">
        <v>145.30000000000001</v>
      </c>
      <c r="T167">
        <v>139.19999999999999</v>
      </c>
      <c r="U167">
        <v>144.5</v>
      </c>
      <c r="V167" t="s">
        <v>32</v>
      </c>
      <c r="W167">
        <v>136.4</v>
      </c>
      <c r="X167">
        <v>137.30000000000001</v>
      </c>
      <c r="Y167">
        <v>133</v>
      </c>
      <c r="Z167">
        <v>120.3</v>
      </c>
      <c r="AA167">
        <v>131.5</v>
      </c>
      <c r="AB167">
        <v>140.19999999999999</v>
      </c>
      <c r="AC167">
        <v>125.4</v>
      </c>
      <c r="AD167">
        <v>129.69999999999999</v>
      </c>
      <c r="AE167">
        <v>137.80000000000001</v>
      </c>
    </row>
    <row r="168" spans="1:31"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row>
    <row r="169" spans="1:3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t="str">
        <f>IF(OR(B169&lt;2020,AND(B169=2020,C169&lt;&gt;"March")),"Before COVID","After COVID")</f>
        <v>Before COVID</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row>
    <row r="170" spans="1:31"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Q170">
        <v>139.6</v>
      </c>
      <c r="R170">
        <v>149.80000000000001</v>
      </c>
      <c r="S170">
        <v>146.1</v>
      </c>
      <c r="T170">
        <v>139.69999999999999</v>
      </c>
      <c r="U170">
        <v>145.19999999999999</v>
      </c>
      <c r="V170" t="s">
        <v>32</v>
      </c>
      <c r="W170">
        <v>137.4</v>
      </c>
      <c r="X170">
        <v>137.9</v>
      </c>
      <c r="Y170">
        <v>133.4</v>
      </c>
      <c r="Z170">
        <v>121.2</v>
      </c>
      <c r="AA170">
        <v>132.30000000000001</v>
      </c>
      <c r="AB170">
        <v>139.6</v>
      </c>
      <c r="AC170">
        <v>126.7</v>
      </c>
      <c r="AD170">
        <v>130.30000000000001</v>
      </c>
      <c r="AE170">
        <v>137.6</v>
      </c>
    </row>
    <row r="171" spans="1:31"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row>
    <row r="172" spans="1:3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t="str">
        <f>IF(OR(B172&lt;2020,AND(B172=2020,C172&lt;&gt;"March")),"Before COVID","After COVID")</f>
        <v>Before COVID</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row>
    <row r="173" spans="1:31"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Q173">
        <v>140.4</v>
      </c>
      <c r="R173">
        <v>150.5</v>
      </c>
      <c r="S173">
        <v>147.19999999999999</v>
      </c>
      <c r="T173">
        <v>140.6</v>
      </c>
      <c r="U173">
        <v>146.19999999999999</v>
      </c>
      <c r="V173" t="s">
        <v>32</v>
      </c>
      <c r="W173">
        <v>138.1</v>
      </c>
      <c r="X173">
        <v>138.4</v>
      </c>
      <c r="Y173">
        <v>134.19999999999999</v>
      </c>
      <c r="Z173">
        <v>121</v>
      </c>
      <c r="AA173">
        <v>133</v>
      </c>
      <c r="AB173">
        <v>140.1</v>
      </c>
      <c r="AC173">
        <v>127.4</v>
      </c>
      <c r="AD173">
        <v>130.69999999999999</v>
      </c>
      <c r="AE173">
        <v>138.30000000000001</v>
      </c>
    </row>
    <row r="174" spans="1:31"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row>
    <row r="175" spans="1:3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t="str">
        <f>IF(OR(B175&lt;2020,AND(B175=2020,C175&lt;&gt;"March")),"Before COVID","After COVID")</f>
        <v>Before COVID</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row>
    <row r="176" spans="1:31"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Q176">
        <v>142.4</v>
      </c>
      <c r="R176">
        <v>152.1</v>
      </c>
      <c r="S176">
        <v>148.19999999999999</v>
      </c>
      <c r="T176">
        <v>141.5</v>
      </c>
      <c r="U176">
        <v>147.30000000000001</v>
      </c>
      <c r="V176" t="s">
        <v>32</v>
      </c>
      <c r="W176">
        <v>141.1</v>
      </c>
      <c r="X176">
        <v>139.4</v>
      </c>
      <c r="Y176">
        <v>135.80000000000001</v>
      </c>
      <c r="Z176">
        <v>121.6</v>
      </c>
      <c r="AA176">
        <v>133.69999999999999</v>
      </c>
      <c r="AB176">
        <v>141.5</v>
      </c>
      <c r="AC176">
        <v>128.1</v>
      </c>
      <c r="AD176">
        <v>131.69999999999999</v>
      </c>
      <c r="AE176">
        <v>140</v>
      </c>
    </row>
    <row r="177" spans="1:36"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row>
    <row r="178" spans="1:36"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t="str">
        <f>IF(OR(B178&lt;2020,AND(B178=2020,C178&lt;&gt;"March")),"Before COVID","After COVID")</f>
        <v>Before COVID</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row>
    <row r="179" spans="1:36"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Q179">
        <v>141.5</v>
      </c>
      <c r="R179">
        <v>153.19999999999999</v>
      </c>
      <c r="S179">
        <v>148</v>
      </c>
      <c r="T179">
        <v>141.9</v>
      </c>
      <c r="U179">
        <v>147.19999999999999</v>
      </c>
      <c r="V179" t="s">
        <v>32</v>
      </c>
      <c r="W179">
        <v>142.6</v>
      </c>
      <c r="X179">
        <v>139.5</v>
      </c>
      <c r="Y179">
        <v>136.1</v>
      </c>
      <c r="Z179">
        <v>122</v>
      </c>
      <c r="AA179">
        <v>133.4</v>
      </c>
      <c r="AB179">
        <v>141.1</v>
      </c>
      <c r="AC179">
        <v>127.8</v>
      </c>
      <c r="AD179">
        <v>131.9</v>
      </c>
      <c r="AE179">
        <v>139.80000000000001</v>
      </c>
    </row>
    <row r="180" spans="1:36"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row>
    <row r="181" spans="1:36"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t="str">
        <f>IF(OR(B181&lt;2020,AND(B181=2020,C181&lt;&gt;"March")),"Before COVID","After COVID")</f>
        <v>Before COVID</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row>
    <row r="182" spans="1:36"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Q182">
        <v>140.4</v>
      </c>
      <c r="R182">
        <v>153.6</v>
      </c>
      <c r="S182">
        <v>148.30000000000001</v>
      </c>
      <c r="T182">
        <v>142.30000000000001</v>
      </c>
      <c r="U182">
        <v>147.5</v>
      </c>
      <c r="V182" t="s">
        <v>32</v>
      </c>
      <c r="W182">
        <v>142.30000000000001</v>
      </c>
      <c r="X182">
        <v>139.80000000000001</v>
      </c>
      <c r="Y182">
        <v>136</v>
      </c>
      <c r="Z182">
        <v>122.7</v>
      </c>
      <c r="AA182">
        <v>134.30000000000001</v>
      </c>
      <c r="AB182">
        <v>141.6</v>
      </c>
      <c r="AC182">
        <v>128.6</v>
      </c>
      <c r="AD182">
        <v>132.30000000000001</v>
      </c>
      <c r="AE182">
        <v>139.30000000000001</v>
      </c>
    </row>
    <row r="183" spans="1:36"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row>
    <row r="184" spans="1:36"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t="str">
        <f>IF(OR(B184&lt;2020,AND(B184=2020,C184&lt;&gt;"March")),"Before COVID","After COVID")</f>
        <v>Before COVID</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c r="AF184" s="9">
        <f>(Q184-Q148)/Q148*100</f>
        <v>4.5830202854996198</v>
      </c>
      <c r="AG184" s="9">
        <f>(X184-X148)/X148*100</f>
        <v>4.2503863987635242</v>
      </c>
      <c r="AH184" s="9">
        <f>(Y184-Y148)/Y148*100</f>
        <v>4.8780487804878181</v>
      </c>
      <c r="AI184" s="9">
        <f>(Z184-Z148)/Z148*100</f>
        <v>1.9658119658119633</v>
      </c>
      <c r="AJ184" s="9">
        <f>(AE184-AE148)/AE148*100</f>
        <v>5.0652340752110465</v>
      </c>
    </row>
    <row r="185" spans="1:36"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Q185">
        <v>138.69999999999999</v>
      </c>
      <c r="R185">
        <v>153.30000000000001</v>
      </c>
      <c r="S185">
        <v>148.69999999999999</v>
      </c>
      <c r="T185">
        <v>142.4</v>
      </c>
      <c r="U185">
        <v>147.80000000000001</v>
      </c>
      <c r="V185" t="s">
        <v>32</v>
      </c>
      <c r="W185">
        <v>142.4</v>
      </c>
      <c r="X185">
        <v>139.9</v>
      </c>
      <c r="Y185">
        <v>136.19999999999999</v>
      </c>
      <c r="Z185">
        <v>123.3</v>
      </c>
      <c r="AA185">
        <v>134.30000000000001</v>
      </c>
      <c r="AB185">
        <v>141.5</v>
      </c>
      <c r="AC185">
        <v>128.80000000000001</v>
      </c>
      <c r="AD185">
        <v>132.5</v>
      </c>
      <c r="AE185">
        <v>138.5</v>
      </c>
    </row>
    <row r="186" spans="1:36"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row>
    <row r="187" spans="1:36"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t="str">
        <f>IF(OR(B187&lt;2020,AND(B187=2020,C187&lt;&gt;"March")),"Before COVID","After COVID")</f>
        <v>Before COVID</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c r="AF187" s="9">
        <f>(Q187-Q151)/Q151*100</f>
        <v>3.458646616541349</v>
      </c>
      <c r="AG187" s="9">
        <f>(X187-X151)/X151*100</f>
        <v>4.2405551272166537</v>
      </c>
      <c r="AH187" s="9">
        <f>(Y187-Y151)/Y151*100</f>
        <v>5.0235478806907423</v>
      </c>
      <c r="AI187" s="9">
        <f>(Z187-Z151)/Z151*100</f>
        <v>2.3850085178875613</v>
      </c>
      <c r="AJ187" s="9">
        <f>(AE187-AE151)/AE151*100</f>
        <v>4.4410413476263493</v>
      </c>
    </row>
    <row r="188" spans="1:36"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Q188">
        <v>138.6</v>
      </c>
      <c r="R188">
        <v>155.1</v>
      </c>
      <c r="S188">
        <v>149.19999999999999</v>
      </c>
      <c r="T188">
        <v>143</v>
      </c>
      <c r="U188">
        <v>148.30000000000001</v>
      </c>
      <c r="V188" t="s">
        <v>32</v>
      </c>
      <c r="W188">
        <v>142.6</v>
      </c>
      <c r="X188">
        <v>139.9</v>
      </c>
      <c r="Y188">
        <v>136.69999999999999</v>
      </c>
      <c r="Z188">
        <v>124.6</v>
      </c>
      <c r="AA188">
        <v>135.1</v>
      </c>
      <c r="AB188">
        <v>142.69999999999999</v>
      </c>
      <c r="AC188">
        <v>129.30000000000001</v>
      </c>
      <c r="AD188">
        <v>133.30000000000001</v>
      </c>
      <c r="AE188">
        <v>138.69999999999999</v>
      </c>
    </row>
    <row r="189" spans="1:36"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row>
    <row r="190" spans="1:36"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t="str">
        <f>IF(OR(B190&lt;2020,AND(B190=2020,C190&lt;&gt;"March")),"Before COVID","After COVID")</f>
        <v>Before COVID</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c r="AF190" s="9">
        <f>(Q190-Q154)/Q154*100</f>
        <v>3.0803906836964647</v>
      </c>
      <c r="AG190" s="9">
        <f>(X190-X154)/X154*100</f>
        <v>4.2275172943889316</v>
      </c>
      <c r="AH190" s="9">
        <f>(Y190-Y154)/Y154*100</f>
        <v>5.086071987480449</v>
      </c>
      <c r="AI190" s="9">
        <f>(Z190-Z154)/Z154*100</f>
        <v>2.8911564625850388</v>
      </c>
      <c r="AJ190" s="9">
        <f>(AE190-AE154)/AE154*100</f>
        <v>4.2780748663101562</v>
      </c>
    </row>
    <row r="191" spans="1:36"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Q191">
        <v>138.6</v>
      </c>
      <c r="R191">
        <v>156.1</v>
      </c>
      <c r="S191">
        <v>150.1</v>
      </c>
      <c r="T191">
        <v>143.30000000000001</v>
      </c>
      <c r="U191">
        <v>149.1</v>
      </c>
      <c r="V191" t="s">
        <v>32</v>
      </c>
      <c r="W191">
        <v>143.80000000000001</v>
      </c>
      <c r="X191">
        <v>140.9</v>
      </c>
      <c r="Y191">
        <v>137.6</v>
      </c>
      <c r="Z191">
        <v>125.3</v>
      </c>
      <c r="AA191">
        <v>136</v>
      </c>
      <c r="AB191">
        <v>143.69999999999999</v>
      </c>
      <c r="AC191">
        <v>130.4</v>
      </c>
      <c r="AD191">
        <v>134.19999999999999</v>
      </c>
      <c r="AE191">
        <v>139.1</v>
      </c>
    </row>
    <row r="192" spans="1:36"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row>
    <row r="193" spans="1:36"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t="str">
        <f>IF(OR(B193&lt;2020,AND(B193=2020,C193&lt;&gt;"March")),"Before COVID","After COVID")</f>
        <v>Before COVID</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c r="AF193" s="9">
        <f>(Q193-Q157)/Q157*100</f>
        <v>2.9962546816479403</v>
      </c>
      <c r="AG193" s="9">
        <f>(X193-X157)/X157*100</f>
        <v>4.7546012269938567</v>
      </c>
      <c r="AH193" s="9">
        <f>(Y193-Y157)/Y157*100</f>
        <v>5.5425448868071774</v>
      </c>
      <c r="AI193" s="9">
        <f>(Z193-Z157)/Z157*100</f>
        <v>4.5454545454545556</v>
      </c>
      <c r="AJ193" s="9">
        <f>(AE193-AE157)/AE157*100</f>
        <v>4.5766590389016022</v>
      </c>
    </row>
    <row r="194" spans="1:36"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Q194">
        <v>139.1</v>
      </c>
      <c r="R194">
        <v>157</v>
      </c>
      <c r="S194">
        <v>150.80000000000001</v>
      </c>
      <c r="T194">
        <v>144.1</v>
      </c>
      <c r="U194">
        <v>149.80000000000001</v>
      </c>
      <c r="V194" t="s">
        <v>32</v>
      </c>
      <c r="W194">
        <v>144.30000000000001</v>
      </c>
      <c r="X194">
        <v>141.80000000000001</v>
      </c>
      <c r="Y194">
        <v>138.4</v>
      </c>
      <c r="Z194">
        <v>126.4</v>
      </c>
      <c r="AA194">
        <v>136.80000000000001</v>
      </c>
      <c r="AB194">
        <v>144.4</v>
      </c>
      <c r="AC194">
        <v>131.19999999999999</v>
      </c>
      <c r="AD194">
        <v>135.1</v>
      </c>
      <c r="AE194">
        <v>139.80000000000001</v>
      </c>
    </row>
    <row r="195" spans="1:36"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row>
    <row r="196" spans="1:36"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t="str">
        <f>IF(OR(B196&lt;2020,AND(B196=2020,C196&lt;&gt;"March")),"Before COVID","After COVID")</f>
        <v>Before COVID</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c r="AF196" s="9">
        <f>(Q196-Q160)/Q160*100</f>
        <v>3.290949887808531</v>
      </c>
      <c r="AG196" s="9">
        <f>(X196-X160)/X160*100</f>
        <v>4.965622612681436</v>
      </c>
      <c r="AH196" s="9">
        <f>(Y196-Y160)/Y160*100</f>
        <v>5.9190031152647924</v>
      </c>
      <c r="AI196" s="9">
        <f>(Z196-Z160)/Z160*100</f>
        <v>5.3127677806341067</v>
      </c>
      <c r="AJ196" s="9">
        <f>(AE196-AE160)/AE160*100</f>
        <v>4.8706240487062447</v>
      </c>
    </row>
    <row r="197" spans="1:36"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Q197">
        <v>140</v>
      </c>
      <c r="R197">
        <v>157.30000000000001</v>
      </c>
      <c r="S197">
        <v>151.30000000000001</v>
      </c>
      <c r="T197">
        <v>144.69999999999999</v>
      </c>
      <c r="U197">
        <v>150.30000000000001</v>
      </c>
      <c r="V197" t="s">
        <v>32</v>
      </c>
      <c r="W197">
        <v>145.1</v>
      </c>
      <c r="X197">
        <v>142.19999999999999</v>
      </c>
      <c r="Y197">
        <v>138.4</v>
      </c>
      <c r="Z197">
        <v>127.4</v>
      </c>
      <c r="AA197">
        <v>137.80000000000001</v>
      </c>
      <c r="AB197">
        <v>145.1</v>
      </c>
      <c r="AC197">
        <v>131.4</v>
      </c>
      <c r="AD197">
        <v>135.6</v>
      </c>
      <c r="AE197">
        <v>140.5</v>
      </c>
    </row>
    <row r="198" spans="1:36"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row>
    <row r="199" spans="1:36"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t="str">
        <f>IF(OR(B199&lt;2020,AND(B199=2020,C199&lt;&gt;"March")),"Before COVID","After COVID")</f>
        <v>Before COVID</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c r="AF199" s="9">
        <f>(Q199-Q163)/Q163*100</f>
        <v>3.1065088757396575</v>
      </c>
      <c r="AG199" s="9">
        <f>(X199-X163)/X163*100</f>
        <v>5.1067073170731847</v>
      </c>
      <c r="AH199" s="9">
        <f>(Y199-Y163)/Y163*100</f>
        <v>5.992217898832676</v>
      </c>
      <c r="AI199" s="9">
        <f>(Z199-Z163)/Z163*100</f>
        <v>6.180257510729616</v>
      </c>
      <c r="AJ199" s="9">
        <f>(AE199-AE163)/AE163*100</f>
        <v>4.9242424242424239</v>
      </c>
    </row>
    <row r="200" spans="1:36"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Q200">
        <v>142</v>
      </c>
      <c r="R200">
        <v>156.1</v>
      </c>
      <c r="S200">
        <v>151.5</v>
      </c>
      <c r="T200">
        <v>145.1</v>
      </c>
      <c r="U200">
        <v>150.6</v>
      </c>
      <c r="V200" t="s">
        <v>32</v>
      </c>
      <c r="W200">
        <v>146.80000000000001</v>
      </c>
      <c r="X200">
        <v>143.1</v>
      </c>
      <c r="Y200">
        <v>139</v>
      </c>
      <c r="Z200">
        <v>127.5</v>
      </c>
      <c r="AA200">
        <v>138.4</v>
      </c>
      <c r="AB200">
        <v>145.80000000000001</v>
      </c>
      <c r="AC200">
        <v>131.4</v>
      </c>
      <c r="AD200">
        <v>136</v>
      </c>
      <c r="AE200">
        <v>141.80000000000001</v>
      </c>
    </row>
    <row r="201" spans="1:36"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row>
    <row r="202" spans="1:36"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t="str">
        <f>IF(OR(B202&lt;2020,AND(B202=2020,C202&lt;&gt;"March")),"Before COVID","After COVID")</f>
        <v>Before COVID</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c r="AF202" s="9">
        <f>(Q202-Q166)/Q166*100</f>
        <v>1.7266187050359754</v>
      </c>
      <c r="AG202" s="9">
        <f>(X202-X166)/X166*100</f>
        <v>5.0796057619408561</v>
      </c>
      <c r="AH202" s="9">
        <f>(Y202-Y166)/Y166*100</f>
        <v>5.8732612055641376</v>
      </c>
      <c r="AI202" s="9">
        <f>(Z202-Z166)/Z166*100</f>
        <v>6.5517241379310294</v>
      </c>
      <c r="AJ202" s="9">
        <f>(AE202-AE166)/AE166*100</f>
        <v>4.1728763040238617</v>
      </c>
    </row>
    <row r="203" spans="1:36"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Q203">
        <v>142.69999999999999</v>
      </c>
      <c r="R203">
        <v>156.4</v>
      </c>
      <c r="S203">
        <v>152.1</v>
      </c>
      <c r="T203">
        <v>145.80000000000001</v>
      </c>
      <c r="U203">
        <v>151.30000000000001</v>
      </c>
      <c r="V203" t="s">
        <v>32</v>
      </c>
      <c r="W203">
        <v>147.69999999999999</v>
      </c>
      <c r="X203">
        <v>143.80000000000001</v>
      </c>
      <c r="Y203">
        <v>139.4</v>
      </c>
      <c r="Z203">
        <v>128.30000000000001</v>
      </c>
      <c r="AA203">
        <v>138.6</v>
      </c>
      <c r="AB203">
        <v>146.9</v>
      </c>
      <c r="AC203">
        <v>131.30000000000001</v>
      </c>
      <c r="AD203">
        <v>136.6</v>
      </c>
      <c r="AE203">
        <v>142.5</v>
      </c>
    </row>
    <row r="204" spans="1:36"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row>
    <row r="205" spans="1:36"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t="str">
        <f>IF(OR(B205&lt;2020,AND(B205=2020,C205&lt;&gt;"March")),"Before COVID","After COVID")</f>
        <v>Before COVID</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c r="AF205" s="9">
        <f>(Q205-Q169)/Q169*100</f>
        <v>0.78236130867709408</v>
      </c>
      <c r="AG205" s="9">
        <f>(X205-X169)/X169*100</f>
        <v>4.9698795180722843</v>
      </c>
      <c r="AH205" s="9">
        <f>(Y205-Y169)/Y169*100</f>
        <v>5.7603686635944706</v>
      </c>
      <c r="AI205" s="9">
        <f>(Z205-Z169)/Z169*100</f>
        <v>5.9676044330775797</v>
      </c>
      <c r="AJ205" s="9">
        <f>(AE205-AE169)/AE169*100</f>
        <v>3.6927621861152145</v>
      </c>
    </row>
    <row r="206" spans="1:36"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Q206">
        <v>141.30000000000001</v>
      </c>
      <c r="R206">
        <v>157.69999999999999</v>
      </c>
      <c r="S206">
        <v>152.1</v>
      </c>
      <c r="T206">
        <v>146.1</v>
      </c>
      <c r="U206">
        <v>151.30000000000001</v>
      </c>
      <c r="V206" t="s">
        <v>32</v>
      </c>
      <c r="W206">
        <v>149</v>
      </c>
      <c r="X206">
        <v>144</v>
      </c>
      <c r="Y206">
        <v>140</v>
      </c>
      <c r="Z206">
        <v>129.9</v>
      </c>
      <c r="AA206">
        <v>140</v>
      </c>
      <c r="AB206">
        <v>147.6</v>
      </c>
      <c r="AC206">
        <v>132</v>
      </c>
      <c r="AD206">
        <v>137.4</v>
      </c>
      <c r="AE206">
        <v>142.1</v>
      </c>
    </row>
    <row r="207" spans="1:36"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row>
    <row r="208" spans="1:36"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t="str">
        <f>IF(OR(B208&lt;2020,AND(B208=2020,C208&lt;&gt;"March")),"Before COVID","After COVID")</f>
        <v>Before COVID</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c r="AF208" s="9">
        <f>(Q208-Q172)/Q172*100</f>
        <v>1.0071942446043207</v>
      </c>
      <c r="AG208" s="9">
        <f>(X208-X172)/X172*100</f>
        <v>4.8012003000750019</v>
      </c>
      <c r="AH208" s="9">
        <f>(Y208-Y172)/Y172*100</f>
        <v>5.9724349157733627</v>
      </c>
      <c r="AI208" s="9">
        <f>(Z208-Z172)/Z172*100</f>
        <v>6.5088757396449735</v>
      </c>
      <c r="AJ208" s="9">
        <f>(AE208-AE172)/AE172*100</f>
        <v>3.6982248520710059</v>
      </c>
    </row>
    <row r="209" spans="1:36"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Q209">
        <v>140.19999999999999</v>
      </c>
      <c r="R209">
        <v>159.6</v>
      </c>
      <c r="S209">
        <v>150.69999999999999</v>
      </c>
      <c r="T209">
        <v>144.5</v>
      </c>
      <c r="U209">
        <v>149.80000000000001</v>
      </c>
      <c r="V209" t="s">
        <v>32</v>
      </c>
      <c r="W209">
        <v>149.69999999999999</v>
      </c>
      <c r="X209">
        <v>147.5</v>
      </c>
      <c r="Y209">
        <v>144.80000000000001</v>
      </c>
      <c r="Z209">
        <v>130.80000000000001</v>
      </c>
      <c r="AA209">
        <v>140.1</v>
      </c>
      <c r="AB209">
        <v>148</v>
      </c>
      <c r="AC209">
        <v>134.4</v>
      </c>
      <c r="AD209">
        <v>139.80000000000001</v>
      </c>
      <c r="AE209">
        <v>142.19999999999999</v>
      </c>
    </row>
    <row r="210" spans="1:36"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row>
    <row r="211" spans="1:36"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t="str">
        <f>IF(OR(B211&lt;2020,AND(B211=2020,C211&lt;&gt;"March")),"Before COVID","After COVID")</f>
        <v>Before COVID</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c r="AF211" s="9">
        <f>(Q211-Q175)/Q175*100</f>
        <v>-0.28551034975018252</v>
      </c>
      <c r="AG211" s="9">
        <f>(X211-X175)/X175*100</f>
        <v>6.4371257485029902</v>
      </c>
      <c r="AH211" s="9">
        <f>(Y211-Y175)/Y175*100</f>
        <v>8.225437928408212</v>
      </c>
      <c r="AI211" s="9">
        <f>(Z211-Z175)/Z175*100</f>
        <v>6.5365025466893059</v>
      </c>
      <c r="AJ211" s="9">
        <f>(AE211-AE175)/AE175*100</f>
        <v>3.4533431300514459</v>
      </c>
    </row>
    <row r="212" spans="1:36"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Q212">
        <v>140</v>
      </c>
      <c r="R212">
        <v>161.9</v>
      </c>
      <c r="S212">
        <v>151.69999999999999</v>
      </c>
      <c r="T212">
        <v>145.5</v>
      </c>
      <c r="U212">
        <v>150.80000000000001</v>
      </c>
      <c r="V212" t="s">
        <v>32</v>
      </c>
      <c r="W212">
        <v>150.30000000000001</v>
      </c>
      <c r="X212">
        <v>148</v>
      </c>
      <c r="Y212">
        <v>145.4</v>
      </c>
      <c r="Z212">
        <v>130.30000000000001</v>
      </c>
      <c r="AA212">
        <v>143.1</v>
      </c>
      <c r="AB212">
        <v>150.19999999999999</v>
      </c>
      <c r="AC212">
        <v>133.1</v>
      </c>
      <c r="AD212">
        <v>140.1</v>
      </c>
      <c r="AE212">
        <v>142.4</v>
      </c>
    </row>
    <row r="213" spans="1:36"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row>
    <row r="214" spans="1:36"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t="str">
        <f>IF(OR(B214&lt;2020,AND(B214=2020,C214&lt;&gt;"March")),"Before COVID","After COVID")</f>
        <v>Before COVID</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c r="AF214" s="9">
        <f>(Q214-Q178)/Q178*100</f>
        <v>-1.6889514426460281</v>
      </c>
      <c r="AG214" s="9">
        <f>(X214-X178)/X178*100</f>
        <v>5.8035714285714155</v>
      </c>
      <c r="AH214" s="9">
        <f>(Y214-Y178)/Y178*100</f>
        <v>7.1644042232277538</v>
      </c>
      <c r="AI214" s="9">
        <f>(Z214-Z178)/Z178*100</f>
        <v>6.0862214708368576</v>
      </c>
      <c r="AJ214" s="9">
        <f>(AE214-AE178)/AE178*100</f>
        <v>2.3255813953488498</v>
      </c>
    </row>
    <row r="215" spans="1:36"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Q215">
        <v>138.5</v>
      </c>
      <c r="R215">
        <v>162.4</v>
      </c>
      <c r="S215">
        <v>151.6</v>
      </c>
      <c r="T215">
        <v>145.9</v>
      </c>
      <c r="U215">
        <v>150.80000000000001</v>
      </c>
      <c r="V215" t="s">
        <v>32</v>
      </c>
      <c r="W215">
        <v>149</v>
      </c>
      <c r="X215">
        <v>149.5</v>
      </c>
      <c r="Y215">
        <v>149.6</v>
      </c>
      <c r="Z215">
        <v>128.9</v>
      </c>
      <c r="AA215">
        <v>143.30000000000001</v>
      </c>
      <c r="AB215">
        <v>155.1</v>
      </c>
      <c r="AC215">
        <v>133.19999999999999</v>
      </c>
      <c r="AD215">
        <v>141.6</v>
      </c>
      <c r="AE215">
        <v>141.9</v>
      </c>
    </row>
    <row r="216" spans="1:36"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row>
    <row r="217" spans="1:36"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t="str">
        <f>IF(OR(B217&lt;2020,AND(B217=2020,C217&lt;&gt;"March")),"Before COVID","After COVID")</f>
        <v>Before COVID</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c r="AF217" s="9">
        <f>(Q217-Q181)/Q181*100</f>
        <v>-1.6370106761565917</v>
      </c>
      <c r="AG217" s="9">
        <f>(X217-X181)/X181*100</f>
        <v>6.3103192279138822</v>
      </c>
      <c r="AH217" s="9">
        <f>(Y217-Y181)/Y181*100</f>
        <v>8.8655146506386266</v>
      </c>
      <c r="AI217" s="9">
        <f>(Z217-Z181)/Z181*100</f>
        <v>4.3037974683544258</v>
      </c>
      <c r="AJ217" s="9">
        <f>(AE217-AE181)/AE181*100</f>
        <v>2.1137026239067098</v>
      </c>
    </row>
    <row r="218" spans="1:36"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Q218">
        <v>137.4</v>
      </c>
      <c r="R218">
        <v>162.69999999999999</v>
      </c>
      <c r="S218">
        <v>150.6</v>
      </c>
      <c r="T218">
        <v>145.1</v>
      </c>
      <c r="U218">
        <v>149.9</v>
      </c>
      <c r="V218" t="s">
        <v>32</v>
      </c>
      <c r="W218">
        <v>146.19999999999999</v>
      </c>
      <c r="X218">
        <v>150.1</v>
      </c>
      <c r="Y218">
        <v>149.6</v>
      </c>
      <c r="Z218">
        <v>128.6</v>
      </c>
      <c r="AA218">
        <v>142.9</v>
      </c>
      <c r="AB218">
        <v>155.19999999999999</v>
      </c>
      <c r="AC218">
        <v>133.5</v>
      </c>
      <c r="AD218">
        <v>141.69999999999999</v>
      </c>
      <c r="AE218">
        <v>141</v>
      </c>
    </row>
    <row r="219" spans="1:36"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row>
    <row r="220" spans="1:36"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t="str">
        <f>IF(OR(B220&lt;2020,AND(B220=2020,C220&lt;&gt;"March")),"Before COVID","After COVID")</f>
        <v>Before COVID</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c r="AF220" s="9">
        <f>(Q220-Q184)/Q184*100</f>
        <v>-1.2931034482758499</v>
      </c>
      <c r="AG220" s="9">
        <f>(X220-X184)/X184*100</f>
        <v>6.4492216456634459</v>
      </c>
      <c r="AH220" s="9">
        <f>(Y220-Y184)/Y184*100</f>
        <v>8.8522130532633021</v>
      </c>
      <c r="AI220" s="9">
        <f>(Z220-Z184)/Z184*100</f>
        <v>3.3528918692372169</v>
      </c>
      <c r="AJ220" s="9">
        <f>(AE220-AE184)/AE184*100</f>
        <v>1.972242512783045</v>
      </c>
    </row>
    <row r="221" spans="1:36"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Q221">
        <v>137.19999999999999</v>
      </c>
      <c r="R221">
        <v>162.80000000000001</v>
      </c>
      <c r="S221">
        <v>150.5</v>
      </c>
      <c r="T221">
        <v>146.1</v>
      </c>
      <c r="U221">
        <v>149.9</v>
      </c>
      <c r="V221" t="s">
        <v>32</v>
      </c>
      <c r="W221">
        <v>145.30000000000001</v>
      </c>
      <c r="X221">
        <v>150.1</v>
      </c>
      <c r="Y221">
        <v>149.9</v>
      </c>
      <c r="Z221">
        <v>129.19999999999999</v>
      </c>
      <c r="AA221">
        <v>143.4</v>
      </c>
      <c r="AB221">
        <v>155.5</v>
      </c>
      <c r="AC221">
        <v>134.9</v>
      </c>
      <c r="AD221">
        <v>142.19999999999999</v>
      </c>
      <c r="AE221">
        <v>141</v>
      </c>
    </row>
    <row r="222" spans="1:36"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row>
    <row r="223" spans="1:36"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t="str">
        <f>IF(OR(B223&lt;2020,AND(B223=2020,C223&lt;&gt;"March")),"Before COVID","After COVID")</f>
        <v>Before COVID</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c r="AF223" s="9">
        <f>(Q223-Q187)/Q187*100</f>
        <v>-7.2674418604647031E-2</v>
      </c>
      <c r="AG223" s="9">
        <f>(X223-X187)/X187*100</f>
        <v>6.2869822485207099</v>
      </c>
      <c r="AH223" s="9">
        <f>(Y223-Y187)/Y187*100</f>
        <v>8.8191330343796572</v>
      </c>
      <c r="AI223" s="9">
        <f>(Z223-Z187)/Z187*100</f>
        <v>3.0782029950083216</v>
      </c>
      <c r="AJ223" s="9">
        <f>(AE223-AE187)/AE187*100</f>
        <v>2.5659824046920821</v>
      </c>
    </row>
    <row r="224" spans="1:36"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Q224">
        <v>137.30000000000001</v>
      </c>
      <c r="R224">
        <v>162.9</v>
      </c>
      <c r="S224">
        <v>150.80000000000001</v>
      </c>
      <c r="T224">
        <v>146.1</v>
      </c>
      <c r="U224">
        <v>150.1</v>
      </c>
      <c r="V224" t="s">
        <v>32</v>
      </c>
      <c r="W224">
        <v>146.4</v>
      </c>
      <c r="X224">
        <v>150</v>
      </c>
      <c r="Y224">
        <v>150.4</v>
      </c>
      <c r="Z224">
        <v>129.9</v>
      </c>
      <c r="AA224">
        <v>143.80000000000001</v>
      </c>
      <c r="AB224">
        <v>155.5</v>
      </c>
      <c r="AC224">
        <v>134</v>
      </c>
      <c r="AD224">
        <v>142.4</v>
      </c>
      <c r="AE224">
        <v>141.19999999999999</v>
      </c>
    </row>
    <row r="225" spans="1:36"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row>
    <row r="226" spans="1:36"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t="str">
        <f>IF(OR(B226&lt;2020,AND(B226=2020,C226&lt;&gt;"March")),"Before COVID","After COVID")</f>
        <v>Before COVID</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c r="AF226" s="9">
        <f>(Q226-Q190)/Q190*100</f>
        <v>0.6559766763848438</v>
      </c>
      <c r="AG226" s="9">
        <f>(X226-X190)/X190*100</f>
        <v>6.0471976401180072</v>
      </c>
      <c r="AH226" s="9">
        <f>(Y226-Y190)/Y190*100</f>
        <v>8.8607594936708676</v>
      </c>
      <c r="AI226" s="9">
        <f>(Z226-Z190)/Z190*100</f>
        <v>2.9752066115702429</v>
      </c>
      <c r="AJ226" s="9">
        <f>(AE226-AE190)/AE190*100</f>
        <v>2.8571428571428612</v>
      </c>
    </row>
    <row r="227" spans="1:36"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Q227">
        <v>139.19999999999999</v>
      </c>
      <c r="R227">
        <v>163.30000000000001</v>
      </c>
      <c r="S227">
        <v>151.30000000000001</v>
      </c>
      <c r="T227">
        <v>146.6</v>
      </c>
      <c r="U227">
        <v>150.69999999999999</v>
      </c>
      <c r="V227" t="s">
        <v>32</v>
      </c>
      <c r="W227">
        <v>146.9</v>
      </c>
      <c r="X227">
        <v>149.5</v>
      </c>
      <c r="Y227">
        <v>151.30000000000001</v>
      </c>
      <c r="Z227">
        <v>130.19999999999999</v>
      </c>
      <c r="AA227">
        <v>145.9</v>
      </c>
      <c r="AB227">
        <v>156.69999999999999</v>
      </c>
      <c r="AC227">
        <v>133.9</v>
      </c>
      <c r="AD227">
        <v>142.9</v>
      </c>
      <c r="AE227">
        <v>142.4</v>
      </c>
    </row>
    <row r="228" spans="1:36"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row>
    <row r="229" spans="1:36"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t="str">
        <f>IF(OR(B229&lt;2020,AND(B229=2020,C229&lt;&gt;"March")),"Before COVID","After COVID")</f>
        <v>Before COVID</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c r="AF229" s="9">
        <f>(Q229-Q193)/Q193*100</f>
        <v>2.4727272727272767</v>
      </c>
      <c r="AG229" s="9">
        <f>(X229-X193)/X193*100</f>
        <v>5.1976573938506547</v>
      </c>
      <c r="AH229" s="9">
        <f>(Y229-Y193)/Y193*100</f>
        <v>8.6538461538461675</v>
      </c>
      <c r="AI229" s="9">
        <f>(Z229-Z193)/Z193*100</f>
        <v>2.4610336341263328</v>
      </c>
      <c r="AJ229" s="9">
        <f>(AE229-AE193)/AE193*100</f>
        <v>3.5740335521517181</v>
      </c>
    </row>
    <row r="230" spans="1:36"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Q230">
        <v>141</v>
      </c>
      <c r="R230">
        <v>164.2</v>
      </c>
      <c r="S230">
        <v>151.4</v>
      </c>
      <c r="T230">
        <v>146.5</v>
      </c>
      <c r="U230">
        <v>150.69999999999999</v>
      </c>
      <c r="V230" t="s">
        <v>32</v>
      </c>
      <c r="W230">
        <v>147.80000000000001</v>
      </c>
      <c r="X230">
        <v>149.6</v>
      </c>
      <c r="Y230">
        <v>151.69999999999999</v>
      </c>
      <c r="Z230">
        <v>130.19999999999999</v>
      </c>
      <c r="AA230">
        <v>146.4</v>
      </c>
      <c r="AB230">
        <v>157.69999999999999</v>
      </c>
      <c r="AC230">
        <v>134.80000000000001</v>
      </c>
      <c r="AD230">
        <v>143.30000000000001</v>
      </c>
      <c r="AE230">
        <v>143.6</v>
      </c>
    </row>
    <row r="231" spans="1:36"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row>
    <row r="232" spans="1:36"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t="str">
        <f>IF(OR(B232&lt;2020,AND(B232=2020,C232&lt;&gt;"March")),"Before COVID","After COVID")</f>
        <v>Before COVID</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c r="AF232" s="9">
        <f>(Q232-Q196)/Q196*100</f>
        <v>3.3309196234612557</v>
      </c>
      <c r="AG232" s="9">
        <f>(X232-X196)/X196*100</f>
        <v>4.6579330422125222</v>
      </c>
      <c r="AH232" s="9">
        <f>(Y232-Y196)/Y196*100</f>
        <v>8.3823529411764746</v>
      </c>
      <c r="AI232" s="9">
        <f>(Z232-Z196)/Z196*100</f>
        <v>1.3832384052074764</v>
      </c>
      <c r="AJ232" s="9">
        <f>(AE232-AE196)/AE196*100</f>
        <v>3.7010159651669037</v>
      </c>
    </row>
    <row r="233" spans="1:36"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Q233">
        <v>143</v>
      </c>
      <c r="R233">
        <v>164.5</v>
      </c>
      <c r="S233">
        <v>151.6</v>
      </c>
      <c r="T233">
        <v>146.6</v>
      </c>
      <c r="U233">
        <v>150.9</v>
      </c>
      <c r="V233" t="s">
        <v>32</v>
      </c>
      <c r="W233">
        <v>146.80000000000001</v>
      </c>
      <c r="X233">
        <v>150</v>
      </c>
      <c r="Y233">
        <v>152.19999999999999</v>
      </c>
      <c r="Z233">
        <v>131.19999999999999</v>
      </c>
      <c r="AA233">
        <v>147.5</v>
      </c>
      <c r="AB233">
        <v>159.1</v>
      </c>
      <c r="AC233">
        <v>136.1</v>
      </c>
      <c r="AD233">
        <v>144.19999999999999</v>
      </c>
      <c r="AE233">
        <v>144.9</v>
      </c>
    </row>
    <row r="234" spans="1:36"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row>
    <row r="235" spans="1:36"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t="str">
        <f>IF(OR(B235&lt;2020,AND(B235=2020,C235&lt;&gt;"March")),"Before COVID","After COVID")</f>
        <v>Before COVID</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c r="AF235" s="9">
        <f>(Q235-Q199)/Q199*100</f>
        <v>3.8020086083213651</v>
      </c>
      <c r="AG235" s="9">
        <f>(X235-X199)/X199*100</f>
        <v>4.5685279187817134</v>
      </c>
      <c r="AH235" s="9">
        <f>(Y235-Y199)/Y199*100</f>
        <v>8.590308370044065</v>
      </c>
      <c r="AI235" s="9">
        <f>(Z235-Z199)/Z199*100</f>
        <v>1.5359741309619979</v>
      </c>
      <c r="AJ235" s="9">
        <f>(AE235-AE199)/AE199*100</f>
        <v>4.115523465703963</v>
      </c>
    </row>
    <row r="236" spans="1:36"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Q236">
        <v>144</v>
      </c>
      <c r="R236">
        <v>165.1</v>
      </c>
      <c r="S236">
        <v>151.80000000000001</v>
      </c>
      <c r="T236">
        <v>146.6</v>
      </c>
      <c r="U236">
        <v>151.1</v>
      </c>
      <c r="V236" t="s">
        <v>32</v>
      </c>
      <c r="W236">
        <v>146.4</v>
      </c>
      <c r="X236">
        <v>150.19999999999999</v>
      </c>
      <c r="Y236">
        <v>152.69999999999999</v>
      </c>
      <c r="Z236">
        <v>131.4</v>
      </c>
      <c r="AA236">
        <v>148</v>
      </c>
      <c r="AB236">
        <v>159.69999999999999</v>
      </c>
      <c r="AC236">
        <v>138.80000000000001</v>
      </c>
      <c r="AD236">
        <v>144.9</v>
      </c>
      <c r="AE236">
        <v>145.69999999999999</v>
      </c>
    </row>
    <row r="237" spans="1:36"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row>
    <row r="238" spans="1:36"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t="str">
        <f>IF(OR(B238&lt;2020,AND(B238=2020,C238&lt;&gt;"March")),"Before COVID","After COVID")</f>
        <v>Before COVID</v>
      </c>
      <c r="Q238">
        <v>145.9</v>
      </c>
      <c r="R238">
        <v>165.8</v>
      </c>
      <c r="S238">
        <v>149.1</v>
      </c>
      <c r="T238">
        <v>140.6</v>
      </c>
      <c r="U238">
        <v>147.9</v>
      </c>
      <c r="V238">
        <v>151.6</v>
      </c>
      <c r="W238">
        <v>138.5</v>
      </c>
      <c r="X238">
        <v>144.5</v>
      </c>
      <c r="Y238">
        <v>148.5</v>
      </c>
      <c r="Z238">
        <v>125.8</v>
      </c>
      <c r="AA238">
        <v>140.9</v>
      </c>
      <c r="AB238">
        <v>154.9</v>
      </c>
      <c r="AC238">
        <v>138.4</v>
      </c>
      <c r="AD238">
        <v>140.19999999999999</v>
      </c>
      <c r="AE238">
        <v>145</v>
      </c>
      <c r="AF238" s="9">
        <f>(Q238-Q202)/Q202*100</f>
        <v>3.182461103253182</v>
      </c>
      <c r="AG238" s="9">
        <f>(X238-X202)/X202*100</f>
        <v>4.2568542568542611</v>
      </c>
      <c r="AH238" s="9">
        <f>(Y238-Y202)/Y202*100</f>
        <v>8.3941605839416056</v>
      </c>
      <c r="AI238" s="9">
        <f>(Z238-Z202)/Z202*100</f>
        <v>1.7799352750809085</v>
      </c>
      <c r="AJ238" s="9">
        <f>(AE238-AE202)/AE202*100</f>
        <v>3.7195994277539257</v>
      </c>
    </row>
    <row r="239" spans="1:36"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Q239">
        <v>145.5</v>
      </c>
      <c r="R239">
        <v>165.7</v>
      </c>
      <c r="S239">
        <v>151.69999999999999</v>
      </c>
      <c r="T239">
        <v>146.6</v>
      </c>
      <c r="U239">
        <v>151</v>
      </c>
      <c r="V239" t="s">
        <v>32</v>
      </c>
      <c r="W239">
        <v>146.9</v>
      </c>
      <c r="X239">
        <v>150.30000000000001</v>
      </c>
      <c r="Y239">
        <v>153.4</v>
      </c>
      <c r="Z239">
        <v>131.6</v>
      </c>
      <c r="AA239">
        <v>148.30000000000001</v>
      </c>
      <c r="AB239">
        <v>160.19999999999999</v>
      </c>
      <c r="AC239">
        <v>140.19999999999999</v>
      </c>
      <c r="AD239">
        <v>145.4</v>
      </c>
      <c r="AE239">
        <v>146.69999999999999</v>
      </c>
    </row>
    <row r="240" spans="1:36"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row>
    <row r="241" spans="1:36"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t="str">
        <f>IF(OR(B241&lt;2020,AND(B241=2020,C241&lt;&gt;"March")),"Before COVID","After COVID")</f>
        <v>Before COVID</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c r="AF241" s="9">
        <f>(Q241-Q205)/Q205*100</f>
        <v>3.740296400846868</v>
      </c>
      <c r="AG241" s="9">
        <f>(X241-X205)/X205*100</f>
        <v>3.7302725968436068</v>
      </c>
      <c r="AH241" s="9">
        <f>(Y241-Y205)/Y205*100</f>
        <v>8.2062454611474305</v>
      </c>
      <c r="AI241" s="9">
        <f>(Z241-Z205)/Z205*100</f>
        <v>1.4481094127111804</v>
      </c>
      <c r="AJ241" s="9">
        <f>(AE241-AE205)/AE205*100</f>
        <v>3.8461538461538498</v>
      </c>
    </row>
    <row r="242" spans="1:36"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Q242">
        <v>148.30000000000001</v>
      </c>
      <c r="R242">
        <v>166.3</v>
      </c>
      <c r="S242">
        <v>151.69999999999999</v>
      </c>
      <c r="T242">
        <v>146.69999999999999</v>
      </c>
      <c r="U242">
        <v>151</v>
      </c>
      <c r="V242" t="s">
        <v>32</v>
      </c>
      <c r="W242">
        <v>147.69999999999999</v>
      </c>
      <c r="X242">
        <v>150.6</v>
      </c>
      <c r="Y242">
        <v>153.69999999999999</v>
      </c>
      <c r="Z242">
        <v>131.69999999999999</v>
      </c>
      <c r="AA242">
        <v>148.69999999999999</v>
      </c>
      <c r="AB242">
        <v>160.69999999999999</v>
      </c>
      <c r="AC242">
        <v>140.30000000000001</v>
      </c>
      <c r="AD242">
        <v>145.69999999999999</v>
      </c>
      <c r="AE242">
        <v>148.30000000000001</v>
      </c>
    </row>
    <row r="243" spans="1:36"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row>
    <row r="244" spans="1:36"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t="str">
        <f>IF(OR(B244&lt;2020,AND(B244=2020,C244&lt;&gt;"March")),"Before COVID","After COVID")</f>
        <v>Before COVID</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c r="AF244" s="9">
        <f>(Q244-Q208)/Q208*100</f>
        <v>6.5527065527065442</v>
      </c>
      <c r="AG244" s="9">
        <f>(X244-X208)/X208*100</f>
        <v>3.7938439513242743</v>
      </c>
      <c r="AH244" s="9">
        <f>(Y244-Y208)/Y208*100</f>
        <v>7.9479768786127174</v>
      </c>
      <c r="AI244" s="9">
        <f>(Z244-Z208)/Z208*100</f>
        <v>0.23809523809523581</v>
      </c>
      <c r="AJ244" s="9">
        <f>(AE244-AE208)/AE208*100</f>
        <v>4.9928673323823114</v>
      </c>
    </row>
    <row r="245" spans="1:36"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Q245">
        <v>150.9</v>
      </c>
      <c r="R245">
        <v>167.2</v>
      </c>
      <c r="S245">
        <v>152.30000000000001</v>
      </c>
      <c r="T245">
        <v>147</v>
      </c>
      <c r="U245">
        <v>151.5</v>
      </c>
      <c r="V245" t="s">
        <v>32</v>
      </c>
      <c r="W245">
        <v>148.4</v>
      </c>
      <c r="X245">
        <v>150.9</v>
      </c>
      <c r="Y245">
        <v>154.30000000000001</v>
      </c>
      <c r="Z245">
        <v>132.1</v>
      </c>
      <c r="AA245">
        <v>149.1</v>
      </c>
      <c r="AB245">
        <v>160.80000000000001</v>
      </c>
      <c r="AC245">
        <v>140.6</v>
      </c>
      <c r="AD245">
        <v>146.1</v>
      </c>
      <c r="AE245">
        <v>149.9</v>
      </c>
    </row>
    <row r="246" spans="1:36"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row>
    <row r="247" spans="1:36"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t="str">
        <f>IF(OR(B247&lt;2020,AND(B247=2020,C247&lt;&gt;"March")),"Before COVID","After COVID")</f>
        <v>Before COVID</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c r="AF247" s="9">
        <f>(Q247-Q211)/Q211*100</f>
        <v>8.7329992841803996</v>
      </c>
      <c r="AG247" s="9">
        <f>(X247-X211)/X211*100</f>
        <v>2.1800281293952342</v>
      </c>
      <c r="AH247" s="9">
        <f>(Y247-Y211)/Y211*100</f>
        <v>5.489092188599586</v>
      </c>
      <c r="AI247" s="9">
        <f>(Z247-Z211)/Z211*100</f>
        <v>0.87649402390437803</v>
      </c>
      <c r="AJ247" s="9">
        <f>(AE247-AE211)/AE211*100</f>
        <v>5.5397727272727151</v>
      </c>
    </row>
    <row r="248" spans="1:36"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Q248">
        <v>154.30000000000001</v>
      </c>
      <c r="R248">
        <v>167.8</v>
      </c>
      <c r="S248">
        <v>152.6</v>
      </c>
      <c r="T248">
        <v>147.30000000000001</v>
      </c>
      <c r="U248">
        <v>151.9</v>
      </c>
      <c r="V248" t="s">
        <v>32</v>
      </c>
      <c r="W248">
        <v>149.9</v>
      </c>
      <c r="X248">
        <v>151.19999999999999</v>
      </c>
      <c r="Y248">
        <v>154.80000000000001</v>
      </c>
      <c r="Z248">
        <v>135</v>
      </c>
      <c r="AA248">
        <v>149.5</v>
      </c>
      <c r="AB248">
        <v>161.1</v>
      </c>
      <c r="AC248">
        <v>140.6</v>
      </c>
      <c r="AD248">
        <v>147.1</v>
      </c>
      <c r="AE248">
        <v>152.30000000000001</v>
      </c>
    </row>
    <row r="249" spans="1:36"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row>
    <row r="250" spans="1:36"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t="str">
        <f>IF(OR(B250&lt;2020,AND(B250=2020,C250&lt;&gt;"March")),"Before COVID","After COVID")</f>
        <v>Before COVID</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c r="AF250" s="9">
        <f>(Q250-Q214)/Q214*100</f>
        <v>10.952040085898362</v>
      </c>
      <c r="AG250" s="9">
        <f>(X250-X214)/X214*100</f>
        <v>2.5316455696202693</v>
      </c>
      <c r="AH250" s="9">
        <f>(Y250-Y214)/Y214*100</f>
        <v>5.8409570724841746</v>
      </c>
      <c r="AI250" s="9">
        <f>(Z250-Z214)/Z214*100</f>
        <v>3.4262948207171409</v>
      </c>
      <c r="AJ250" s="9">
        <f>(AE250-AE214)/AE214*100</f>
        <v>6.8181818181818139</v>
      </c>
    </row>
    <row r="251" spans="1:36"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Q251">
        <v>153</v>
      </c>
      <c r="R251">
        <v>168.6</v>
      </c>
      <c r="S251">
        <v>152.80000000000001</v>
      </c>
      <c r="T251">
        <v>147.4</v>
      </c>
      <c r="U251">
        <v>152.1</v>
      </c>
      <c r="V251" t="s">
        <v>32</v>
      </c>
      <c r="W251">
        <v>150.4</v>
      </c>
      <c r="X251">
        <v>151.69999999999999</v>
      </c>
      <c r="Y251">
        <v>155.69999999999999</v>
      </c>
      <c r="Z251">
        <v>136.30000000000001</v>
      </c>
      <c r="AA251">
        <v>150.1</v>
      </c>
      <c r="AB251">
        <v>161.69999999999999</v>
      </c>
      <c r="AC251">
        <v>142.5</v>
      </c>
      <c r="AD251">
        <v>148.1</v>
      </c>
      <c r="AE251">
        <v>151.9</v>
      </c>
    </row>
    <row r="252" spans="1:36"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row>
    <row r="253" spans="1:36"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t="str">
        <f>IF(OR(B253&lt;2020,AND(B253=2020,C253&lt;&gt;"March")),"Before COVID","After COVID")</f>
        <v>Before COVID</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c r="AF253" s="9">
        <f>(Q253-Q217)/Q217*100</f>
        <v>11.070911722141833</v>
      </c>
      <c r="AG253" s="9">
        <f>(X253-X217)/X217*100</f>
        <v>2.0949720670391065</v>
      </c>
      <c r="AH253" s="9">
        <f>(Y253-Y217)/Y217*100</f>
        <v>4.34782608695651</v>
      </c>
      <c r="AI253" s="9">
        <f>(Z253-Z217)/Z217*100</f>
        <v>5.9061488673139255</v>
      </c>
      <c r="AJ253" s="9">
        <f>(AE253-AE217)/AE217*100</f>
        <v>7.2091363311920027</v>
      </c>
    </row>
    <row r="254" spans="1:36"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Q254">
        <v>149.80000000000001</v>
      </c>
      <c r="R254">
        <v>169.4</v>
      </c>
      <c r="S254">
        <v>153</v>
      </c>
      <c r="T254">
        <v>147.5</v>
      </c>
      <c r="U254">
        <v>152.30000000000001</v>
      </c>
      <c r="V254" t="s">
        <v>32</v>
      </c>
      <c r="W254">
        <v>152.30000000000001</v>
      </c>
      <c r="X254">
        <v>151.80000000000001</v>
      </c>
      <c r="Y254">
        <v>156.19999999999999</v>
      </c>
      <c r="Z254">
        <v>136</v>
      </c>
      <c r="AA254">
        <v>150.4</v>
      </c>
      <c r="AB254">
        <v>161.9</v>
      </c>
      <c r="AC254">
        <v>143.4</v>
      </c>
      <c r="AD254">
        <v>148.4</v>
      </c>
      <c r="AE254">
        <v>150.4</v>
      </c>
    </row>
    <row r="255" spans="1:36"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row>
    <row r="256" spans="1:36" ht="15.6" customHeight="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t="str">
        <f>IF(OR(B256&lt;2020,AND(B256=2020,C256&lt;&gt;"March")),"Before COVID","After COVID")</f>
        <v>Before COVID</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c r="AF256" s="9">
        <f>(Q256-Q220)/Q220*100</f>
        <v>9.5342066957787441</v>
      </c>
      <c r="AG256" s="9">
        <f>(X256-X220)/X220*100</f>
        <v>1.9498607242339914</v>
      </c>
      <c r="AH256" s="9">
        <f>(Y256-Y220)/Y220*100</f>
        <v>4.5485871812543035</v>
      </c>
      <c r="AI256" s="9">
        <f>(Z256-Z220)/Z220*100</f>
        <v>5.677210056772112</v>
      </c>
      <c r="AJ256" s="9">
        <f>(AE256-AE220)/AE220*100</f>
        <v>6.8051575931232096</v>
      </c>
    </row>
    <row r="257" spans="1:36"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Q257">
        <v>148.19999999999999</v>
      </c>
      <c r="R257">
        <v>170.5</v>
      </c>
      <c r="S257">
        <v>153.4</v>
      </c>
      <c r="T257">
        <v>147.6</v>
      </c>
      <c r="U257">
        <v>152.5</v>
      </c>
      <c r="V257" t="s">
        <v>32</v>
      </c>
      <c r="W257">
        <v>153.4</v>
      </c>
      <c r="X257">
        <v>151.5</v>
      </c>
      <c r="Y257">
        <v>156.69999999999999</v>
      </c>
      <c r="Z257">
        <v>135.80000000000001</v>
      </c>
      <c r="AA257">
        <v>151.19999999999999</v>
      </c>
      <c r="AB257">
        <v>161.19999999999999</v>
      </c>
      <c r="AC257">
        <v>145.1</v>
      </c>
      <c r="AD257">
        <v>148.6</v>
      </c>
      <c r="AE257">
        <v>149.80000000000001</v>
      </c>
    </row>
    <row r="258" spans="1:36"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row>
    <row r="259" spans="1:36"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t="str">
        <f>IF(OR(B259&lt;2020,AND(B259=2020,C259&lt;&gt;"March")),"Before COVID","After COVID")</f>
        <v>After COVID</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c r="AF259" s="9">
        <f>(Q259-Q223)/Q223*100</f>
        <v>8.2909090909090946</v>
      </c>
      <c r="AG259" s="9">
        <f>(X259-X223)/X223*100</f>
        <v>1.8789144050104505</v>
      </c>
      <c r="AH259" s="9">
        <f>(Y259-Y223)/Y223*100</f>
        <v>4.6016483516483637</v>
      </c>
      <c r="AI259" s="9">
        <f>(Z259-Z223)/Z223*100</f>
        <v>4.8426150121065374</v>
      </c>
      <c r="AJ259" s="9">
        <f>(AE259-AE223)/AE223*100</f>
        <v>6.2187276626161463</v>
      </c>
    </row>
    <row r="260" spans="1:36"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Q260">
        <v>150.1</v>
      </c>
      <c r="R260" t="s">
        <v>32</v>
      </c>
      <c r="S260" t="s">
        <v>32</v>
      </c>
      <c r="T260" t="s">
        <v>32</v>
      </c>
      <c r="U260" t="s">
        <v>32</v>
      </c>
      <c r="V260" t="s">
        <v>32</v>
      </c>
      <c r="W260">
        <v>148.4</v>
      </c>
      <c r="X260" t="s">
        <v>32</v>
      </c>
      <c r="Y260">
        <v>154.30000000000001</v>
      </c>
      <c r="Z260" t="s">
        <v>32</v>
      </c>
      <c r="AA260" t="s">
        <v>32</v>
      </c>
      <c r="AB260" t="s">
        <v>32</v>
      </c>
      <c r="AC260" t="s">
        <v>32</v>
      </c>
      <c r="AD260" t="s">
        <v>32</v>
      </c>
      <c r="AE260" t="s">
        <v>32</v>
      </c>
    </row>
    <row r="261" spans="1:36"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Q261">
        <v>153.5</v>
      </c>
      <c r="R261" t="s">
        <v>32</v>
      </c>
      <c r="S261" t="s">
        <v>32</v>
      </c>
      <c r="T261" t="s">
        <v>32</v>
      </c>
      <c r="U261" t="s">
        <v>32</v>
      </c>
      <c r="V261">
        <v>155.6</v>
      </c>
      <c r="W261">
        <v>137.1</v>
      </c>
      <c r="X261" t="s">
        <v>32</v>
      </c>
      <c r="Y261">
        <v>144.80000000000001</v>
      </c>
      <c r="Z261" t="s">
        <v>32</v>
      </c>
      <c r="AA261" t="s">
        <v>32</v>
      </c>
      <c r="AB261" t="s">
        <v>32</v>
      </c>
      <c r="AC261" t="s">
        <v>32</v>
      </c>
      <c r="AD261" t="s">
        <v>32</v>
      </c>
      <c r="AE261" t="s">
        <v>32</v>
      </c>
    </row>
    <row r="262" spans="1:36"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t="str">
        <f>IF(OR(B262&lt;2020,AND(B262=2020,C262&lt;&gt;"March")),"Before COVID","After COVID")</f>
        <v>Before COVID</v>
      </c>
      <c r="Q262">
        <v>151.4</v>
      </c>
      <c r="R262" t="s">
        <v>32</v>
      </c>
      <c r="S262" t="s">
        <v>32</v>
      </c>
      <c r="T262" t="s">
        <v>32</v>
      </c>
      <c r="U262" t="s">
        <v>32</v>
      </c>
      <c r="V262">
        <v>155.6</v>
      </c>
      <c r="W262">
        <v>144.1</v>
      </c>
      <c r="X262" t="s">
        <v>32</v>
      </c>
      <c r="Y262">
        <v>150.69999999999999</v>
      </c>
      <c r="Z262" t="s">
        <v>32</v>
      </c>
      <c r="AA262" t="s">
        <v>32</v>
      </c>
      <c r="AB262" t="s">
        <v>32</v>
      </c>
      <c r="AC262" t="s">
        <v>32</v>
      </c>
      <c r="AD262" t="s">
        <v>32</v>
      </c>
      <c r="AE262" t="s">
        <v>32</v>
      </c>
      <c r="AF262" s="9">
        <f>(Q262-Q226)/Q226*100</f>
        <v>9.6307023895727824</v>
      </c>
      <c r="AG262" s="9" t="s">
        <v>32</v>
      </c>
      <c r="AH262" s="9">
        <f>(Y262-Y226)/Y226*100</f>
        <v>3.0779753761969908</v>
      </c>
      <c r="AI262" s="9" t="s">
        <v>32</v>
      </c>
      <c r="AJ262" s="9" t="s">
        <v>32</v>
      </c>
    </row>
    <row r="263" spans="1:36"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Q263" t="s">
        <v>32</v>
      </c>
      <c r="R263" t="s">
        <v>32</v>
      </c>
      <c r="S263" t="s">
        <v>32</v>
      </c>
      <c r="T263" t="s">
        <v>32</v>
      </c>
      <c r="U263" t="s">
        <v>32</v>
      </c>
      <c r="V263" t="s">
        <v>32</v>
      </c>
      <c r="W263" t="s">
        <v>32</v>
      </c>
      <c r="X263" t="s">
        <v>32</v>
      </c>
      <c r="Y263" t="s">
        <v>32</v>
      </c>
      <c r="Z263" t="s">
        <v>32</v>
      </c>
      <c r="AA263" t="s">
        <v>32</v>
      </c>
      <c r="AB263" t="s">
        <v>32</v>
      </c>
      <c r="AC263" t="s">
        <v>32</v>
      </c>
      <c r="AD263" t="s">
        <v>32</v>
      </c>
      <c r="AE263" t="s">
        <v>32</v>
      </c>
    </row>
    <row r="264" spans="1:36"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Q264" t="s">
        <v>32</v>
      </c>
      <c r="R264" t="s">
        <v>32</v>
      </c>
      <c r="S264" t="s">
        <v>32</v>
      </c>
      <c r="T264" t="s">
        <v>32</v>
      </c>
      <c r="U264" t="s">
        <v>32</v>
      </c>
      <c r="V264" t="s">
        <v>32</v>
      </c>
      <c r="W264" t="s">
        <v>32</v>
      </c>
      <c r="X264" t="s">
        <v>32</v>
      </c>
      <c r="Y264" t="s">
        <v>32</v>
      </c>
      <c r="Z264" t="s">
        <v>32</v>
      </c>
      <c r="AA264" t="s">
        <v>32</v>
      </c>
      <c r="AB264" t="s">
        <v>32</v>
      </c>
      <c r="AC264" t="s">
        <v>32</v>
      </c>
      <c r="AD264" t="s">
        <v>32</v>
      </c>
      <c r="AE264" t="s">
        <v>32</v>
      </c>
    </row>
    <row r="265" spans="1:36"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tr">
        <f>IF(OR(B265&lt;2020,AND(B265=2020,C265&lt;&gt;"March")),"Before COVID","After COVID")</f>
        <v>Before COVID</v>
      </c>
      <c r="Q265" t="s">
        <v>32</v>
      </c>
      <c r="R265" t="s">
        <v>32</v>
      </c>
      <c r="S265" t="s">
        <v>32</v>
      </c>
      <c r="T265" t="s">
        <v>32</v>
      </c>
      <c r="U265" t="s">
        <v>32</v>
      </c>
      <c r="V265" t="s">
        <v>32</v>
      </c>
      <c r="W265" t="s">
        <v>32</v>
      </c>
      <c r="X265" t="s">
        <v>32</v>
      </c>
      <c r="Y265" t="s">
        <v>32</v>
      </c>
      <c r="Z265" t="s">
        <v>32</v>
      </c>
      <c r="AA265" t="s">
        <v>32</v>
      </c>
      <c r="AB265" t="s">
        <v>32</v>
      </c>
      <c r="AC265" t="s">
        <v>32</v>
      </c>
      <c r="AD265" t="s">
        <v>32</v>
      </c>
      <c r="AE265" t="s">
        <v>32</v>
      </c>
      <c r="AF265" s="9" t="s">
        <v>32</v>
      </c>
      <c r="AG265" s="9" t="s">
        <v>32</v>
      </c>
      <c r="AH265" s="9" t="s">
        <v>32</v>
      </c>
      <c r="AI265" s="9" t="s">
        <v>32</v>
      </c>
      <c r="AJ265" s="9" t="s">
        <v>32</v>
      </c>
    </row>
    <row r="266" spans="1:36"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Q266">
        <v>152.30000000000001</v>
      </c>
      <c r="R266">
        <v>182.4</v>
      </c>
      <c r="S266">
        <v>154.69999999999999</v>
      </c>
      <c r="T266">
        <v>150</v>
      </c>
      <c r="U266">
        <v>154.1</v>
      </c>
      <c r="V266" t="s">
        <v>32</v>
      </c>
      <c r="W266">
        <v>144.9</v>
      </c>
      <c r="X266">
        <v>151.69999999999999</v>
      </c>
      <c r="Y266">
        <v>158.19999999999999</v>
      </c>
      <c r="Z266">
        <v>141.4</v>
      </c>
      <c r="AA266">
        <v>153.19999999999999</v>
      </c>
      <c r="AB266">
        <v>161.80000000000001</v>
      </c>
      <c r="AC266">
        <v>151.19999999999999</v>
      </c>
      <c r="AD266">
        <v>151.69999999999999</v>
      </c>
      <c r="AE266">
        <v>152.69999999999999</v>
      </c>
    </row>
    <row r="267" spans="1:36"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row>
    <row r="268" spans="1:36"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t="str">
        <f>IF(OR(B268&lt;2020,AND(B268=2020,C268&lt;&gt;"March")),"Before COVID","After COVID")</f>
        <v>Before COVID</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c r="AF268" s="9">
        <f>(Q268-Q232)/Q232*100</f>
        <v>7.9187105816398127</v>
      </c>
      <c r="AG268" s="9">
        <f>(X268-X232)/X232*100</f>
        <v>1.8080667593880348</v>
      </c>
      <c r="AH268" s="9">
        <f>(Y268-Y232)/Y232*100</f>
        <v>4.7489823609226596</v>
      </c>
      <c r="AI268" s="9">
        <f>(Z268-Z232)/Z232*100</f>
        <v>8.3467094703049796</v>
      </c>
      <c r="AJ268" s="9">
        <f>(AE268-AE232)/AE232*100</f>
        <v>6.2281315605318444</v>
      </c>
    </row>
    <row r="269" spans="1:36"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Q269">
        <v>152.30000000000001</v>
      </c>
      <c r="R269">
        <v>182.4</v>
      </c>
      <c r="S269">
        <v>154.69999999999999</v>
      </c>
      <c r="T269">
        <v>150</v>
      </c>
      <c r="U269">
        <v>154.1</v>
      </c>
      <c r="V269" t="s">
        <v>32</v>
      </c>
      <c r="W269">
        <v>144.9</v>
      </c>
      <c r="X269">
        <v>151.69999999999999</v>
      </c>
      <c r="Y269">
        <v>158.19999999999999</v>
      </c>
      <c r="Z269">
        <v>141.4</v>
      </c>
      <c r="AA269">
        <v>153.19999999999999</v>
      </c>
      <c r="AB269">
        <v>161.80000000000001</v>
      </c>
      <c r="AC269">
        <v>151.19999999999999</v>
      </c>
      <c r="AD269">
        <v>151.69999999999999</v>
      </c>
      <c r="AE269">
        <v>152.69999999999999</v>
      </c>
    </row>
    <row r="270" spans="1:36"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row>
    <row r="271" spans="1:36"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t="str">
        <f>IF(OR(B271&lt;2020,AND(B271=2020,C271&lt;&gt;"March")),"Before COVID","After COVID")</f>
        <v>Before COVID</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c r="AF271" s="9">
        <f>(Q271-Q235)/Q235*100</f>
        <v>6.4270905321354617</v>
      </c>
      <c r="AG271" s="9">
        <f>(X271-X235)/X235*100</f>
        <v>1.5256588072122172</v>
      </c>
      <c r="AH271" s="9">
        <f>(Y271-Y235)/Y235*100</f>
        <v>4.3948613928329952</v>
      </c>
      <c r="AI271" s="9">
        <f>(Z271-Z235)/Z235*100</f>
        <v>7.4840764331210243</v>
      </c>
      <c r="AJ271" s="9">
        <f>(AE271-AE235)/AE235*100</f>
        <v>5.27045769764218</v>
      </c>
    </row>
    <row r="272" spans="1:36"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Q272">
        <v>155.30000000000001</v>
      </c>
      <c r="R272">
        <v>180.9</v>
      </c>
      <c r="S272">
        <v>155.1</v>
      </c>
      <c r="T272">
        <v>149.30000000000001</v>
      </c>
      <c r="U272">
        <v>154.30000000000001</v>
      </c>
      <c r="V272" t="s">
        <v>32</v>
      </c>
      <c r="W272">
        <v>145.80000000000001</v>
      </c>
      <c r="X272">
        <v>151.9</v>
      </c>
      <c r="Y272">
        <v>158.80000000000001</v>
      </c>
      <c r="Z272">
        <v>143.6</v>
      </c>
      <c r="AA272">
        <v>152.19999999999999</v>
      </c>
      <c r="AB272">
        <v>162.69999999999999</v>
      </c>
      <c r="AC272">
        <v>153.6</v>
      </c>
      <c r="AD272">
        <v>153</v>
      </c>
      <c r="AE272">
        <v>154.69999999999999</v>
      </c>
    </row>
    <row r="273" spans="1:36"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row>
    <row r="274" spans="1:36"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t="str">
        <f>IF(OR(B274&lt;2020,AND(B274=2020,C274&lt;&gt;"March")),"Before COVID","After COVID")</f>
        <v>Before COVID</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c r="AF274" s="9">
        <f>(Q274-Q238)/Q238*100</f>
        <v>7.6079506511309072</v>
      </c>
      <c r="AG274" s="9">
        <f>(X274-X238)/X238*100</f>
        <v>2.698961937716267</v>
      </c>
      <c r="AH274" s="9">
        <f>(Y274-Y238)/Y238*100</f>
        <v>4.3771043771043772</v>
      </c>
      <c r="AI274" s="9">
        <f>(Z274-Z238)/Z238*100</f>
        <v>10.095389507154215</v>
      </c>
      <c r="AJ274" s="9">
        <f>(AE274-AE238)/AE238*100</f>
        <v>6.1379310344827624</v>
      </c>
    </row>
    <row r="275" spans="1:36"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Q275">
        <v>156.1</v>
      </c>
      <c r="R275">
        <v>182.9</v>
      </c>
      <c r="S275">
        <v>155.4</v>
      </c>
      <c r="T275">
        <v>149.9</v>
      </c>
      <c r="U275">
        <v>154.6</v>
      </c>
      <c r="V275" t="s">
        <v>32</v>
      </c>
      <c r="W275">
        <v>146.4</v>
      </c>
      <c r="X275">
        <v>151.6</v>
      </c>
      <c r="Y275">
        <v>159.1</v>
      </c>
      <c r="Z275">
        <v>144.6</v>
      </c>
      <c r="AA275">
        <v>152.80000000000001</v>
      </c>
      <c r="AB275">
        <v>161.1</v>
      </c>
      <c r="AC275">
        <v>157.4</v>
      </c>
      <c r="AD275">
        <v>153.69999999999999</v>
      </c>
      <c r="AE275">
        <v>155.4</v>
      </c>
    </row>
    <row r="276" spans="1:36"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row>
    <row r="277" spans="1:36"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t="str">
        <f>IF(OR(B277&lt;2020,AND(B277=2020,C277&lt;&gt;"March")),"Before COVID","After COVID")</f>
        <v>Before COVID</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c r="AF277" s="9">
        <f>(Q277-Q241)/Q241*100</f>
        <v>7.4829931972789119</v>
      </c>
      <c r="AG277" s="9">
        <f>(X277-X241)/X241*100</f>
        <v>2.83540802213001</v>
      </c>
      <c r="AH277" s="9">
        <f>(Y277-Y241)/Y241*100</f>
        <v>4.4295302013422777</v>
      </c>
      <c r="AI277" s="9">
        <f>(Z277-Z241)/Z241*100</f>
        <v>10.705789056304521</v>
      </c>
      <c r="AJ277" s="9">
        <f>(AE277-AE241)/AE241*100</f>
        <v>6.1042524005486802</v>
      </c>
    </row>
    <row r="278" spans="1:36"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Q278">
        <v>159.6</v>
      </c>
      <c r="R278">
        <v>182.7</v>
      </c>
      <c r="S278">
        <v>155.69999999999999</v>
      </c>
      <c r="T278">
        <v>150.6</v>
      </c>
      <c r="U278">
        <v>155</v>
      </c>
      <c r="V278" t="s">
        <v>32</v>
      </c>
      <c r="W278">
        <v>146.80000000000001</v>
      </c>
      <c r="X278">
        <v>152</v>
      </c>
      <c r="Y278">
        <v>159.5</v>
      </c>
      <c r="Z278">
        <v>146.4</v>
      </c>
      <c r="AA278">
        <v>152.4</v>
      </c>
      <c r="AB278">
        <v>162.5</v>
      </c>
      <c r="AC278">
        <v>156.19999999999999</v>
      </c>
      <c r="AD278">
        <v>154.30000000000001</v>
      </c>
      <c r="AE278">
        <v>157.5</v>
      </c>
    </row>
    <row r="279" spans="1:36"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row>
    <row r="280" spans="1:36"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t="str">
        <f>IF(OR(B280&lt;2020,AND(B280=2020,C280&lt;&gt;"March")),"Before COVID","After COVID")</f>
        <v>Before COVID</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c r="AF280" s="9">
        <f>(Q280-Q244)/Q244*100</f>
        <v>7.8877005347593663</v>
      </c>
      <c r="AG280" s="9">
        <f>(X280-X244)/X244*100</f>
        <v>2.5517241379310267</v>
      </c>
      <c r="AH280" s="9">
        <f>(Y280-Y244)/Y244*100</f>
        <v>4.6184738955823326</v>
      </c>
      <c r="AI280" s="9">
        <f>(Z280-Z244)/Z244*100</f>
        <v>11.322248614410132</v>
      </c>
      <c r="AJ280" s="9">
        <f>(AE280-AE244)/AE244*100</f>
        <v>6.2500000000000124</v>
      </c>
    </row>
    <row r="281" spans="1:36"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Q281">
        <v>163.4</v>
      </c>
      <c r="R281">
        <v>183.4</v>
      </c>
      <c r="S281">
        <v>156.30000000000001</v>
      </c>
      <c r="T281">
        <v>151</v>
      </c>
      <c r="U281">
        <v>155.5</v>
      </c>
      <c r="V281" t="s">
        <v>32</v>
      </c>
      <c r="W281">
        <v>147.5</v>
      </c>
      <c r="X281">
        <v>152.80000000000001</v>
      </c>
      <c r="Y281">
        <v>160.4</v>
      </c>
      <c r="Z281">
        <v>146.1</v>
      </c>
      <c r="AA281">
        <v>153.6</v>
      </c>
      <c r="AB281">
        <v>161.6</v>
      </c>
      <c r="AC281">
        <v>156.19999999999999</v>
      </c>
      <c r="AD281">
        <v>154.5</v>
      </c>
      <c r="AE281">
        <v>159.80000000000001</v>
      </c>
    </row>
    <row r="282" spans="1:36"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row>
    <row r="283" spans="1:36"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t="str">
        <f>IF(OR(B283&lt;2020,AND(B283=2020,C283&lt;&gt;"March")),"Before COVID","After COVID")</f>
        <v>Before COVID</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c r="AF283" s="9">
        <f>(Q283-Q247)/Q247*100</f>
        <v>8.4265964450296131</v>
      </c>
      <c r="AG283" s="9">
        <f>(X283-X247)/X247*100</f>
        <v>2.6841018582243477</v>
      </c>
      <c r="AH283" s="9">
        <f>(Y283-Y247)/Y247*100</f>
        <v>4.8699132755169998</v>
      </c>
      <c r="AI283" s="9">
        <f>(Z283-Z247)/Z247*100</f>
        <v>10.900473933649298</v>
      </c>
      <c r="AJ283" s="9">
        <f>(AE283-AE247)/AE247*100</f>
        <v>6.594885598923292</v>
      </c>
    </row>
    <row r="284" spans="1:36"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Q284">
        <v>164.5</v>
      </c>
      <c r="R284">
        <v>183.6</v>
      </c>
      <c r="S284">
        <v>157</v>
      </c>
      <c r="T284">
        <v>151.6</v>
      </c>
      <c r="U284">
        <v>156.30000000000001</v>
      </c>
      <c r="V284" t="s">
        <v>32</v>
      </c>
      <c r="W284">
        <v>148.69999999999999</v>
      </c>
      <c r="X284">
        <v>153.4</v>
      </c>
      <c r="Y284">
        <v>161.6</v>
      </c>
      <c r="Z284">
        <v>146.4</v>
      </c>
      <c r="AA284">
        <v>153.9</v>
      </c>
      <c r="AB284">
        <v>162.9</v>
      </c>
      <c r="AC284">
        <v>156.6</v>
      </c>
      <c r="AD284">
        <v>155.19999999999999</v>
      </c>
      <c r="AE284">
        <v>160.69999999999999</v>
      </c>
    </row>
    <row r="285" spans="1:36"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row>
    <row r="286" spans="1:36"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t="str">
        <f>IF(OR(B286&lt;2020,AND(B286=2020,C286&lt;&gt;"March")),"Before COVID","After COVID")</f>
        <v>Before COVID</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c r="AF286" s="9">
        <f>(Q286-Q250)/Q250*100</f>
        <v>6.7096774193548425</v>
      </c>
      <c r="AG286" s="9">
        <f>(X286-X250)/X250*100</f>
        <v>2.6748971193415483</v>
      </c>
      <c r="AH286" s="9">
        <f>(Y286-Y250)/Y250*100</f>
        <v>5.2526595744680886</v>
      </c>
      <c r="AI286" s="9">
        <f>(Z286-Z250)/Z250*100</f>
        <v>8.3975346687210912</v>
      </c>
      <c r="AJ286" s="9">
        <f>(AE286-AE250)/AE250*100</f>
        <v>5.6515957446808507</v>
      </c>
    </row>
    <row r="287" spans="1:36"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Q287">
        <v>159.6</v>
      </c>
      <c r="R287">
        <v>184.6</v>
      </c>
      <c r="S287">
        <v>157.5</v>
      </c>
      <c r="T287">
        <v>152.4</v>
      </c>
      <c r="U287">
        <v>156.80000000000001</v>
      </c>
      <c r="V287" t="s">
        <v>32</v>
      </c>
      <c r="W287">
        <v>150.9</v>
      </c>
      <c r="X287">
        <v>153.9</v>
      </c>
      <c r="Y287">
        <v>162.5</v>
      </c>
      <c r="Z287">
        <v>147.5</v>
      </c>
      <c r="AA287">
        <v>155.1</v>
      </c>
      <c r="AB287">
        <v>163.5</v>
      </c>
      <c r="AC287">
        <v>156.19999999999999</v>
      </c>
      <c r="AD287">
        <v>155.9</v>
      </c>
      <c r="AE287">
        <v>158.5</v>
      </c>
    </row>
    <row r="288" spans="1:36"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row>
    <row r="289" spans="1:38"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t="str">
        <f>IF(OR(B289&lt;2020,AND(B289=2020,C289&lt;&gt;"March")),"Before COVID","After COVID")</f>
        <v>After COVID</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c r="AF289" s="9">
        <f>(Q289-Q253)/Q253*100</f>
        <v>4.8859934853420199</v>
      </c>
      <c r="AG289" s="9">
        <f>(X289-X253)/X253*100</f>
        <v>2.5991792065663555</v>
      </c>
      <c r="AH289" s="9">
        <f>(Y289-Y253)/Y253*100</f>
        <v>5.3571428571428727</v>
      </c>
      <c r="AI289" s="9">
        <f>(Z289-Z253)/Z253*100</f>
        <v>8.4033613445378137</v>
      </c>
      <c r="AJ289" s="9">
        <f>(AE289-AE253)/AE253*100</f>
        <v>4.7270306258322385</v>
      </c>
    </row>
    <row r="290" spans="1:38"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Q290">
        <v>154.69999999999999</v>
      </c>
      <c r="R290">
        <v>186.5</v>
      </c>
      <c r="S290">
        <v>159.1</v>
      </c>
      <c r="T290">
        <v>153.9</v>
      </c>
      <c r="U290">
        <v>158.4</v>
      </c>
      <c r="V290" t="s">
        <v>32</v>
      </c>
      <c r="W290">
        <v>154.4</v>
      </c>
      <c r="X290">
        <v>154.80000000000001</v>
      </c>
      <c r="Y290">
        <v>164.3</v>
      </c>
      <c r="Z290">
        <v>150.19999999999999</v>
      </c>
      <c r="AA290">
        <v>157</v>
      </c>
      <c r="AB290">
        <v>163.6</v>
      </c>
      <c r="AC290">
        <v>155.19999999999999</v>
      </c>
      <c r="AD290">
        <v>157.19999999999999</v>
      </c>
      <c r="AE290">
        <v>156.69999999999999</v>
      </c>
    </row>
    <row r="291" spans="1:38"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row>
    <row r="292" spans="1:38"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t="str">
        <f>IF(OR(B292&lt;2020,AND(B292=2020,C292&lt;&gt;"March")),"Before COVID","After COVID")</f>
        <v>After COVID</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c r="AF292" s="9">
        <f>(Q292-Q256)/Q256*100</f>
        <v>4.2524916943521633</v>
      </c>
      <c r="AG292" s="9">
        <f>(X292-X256)/X256*100</f>
        <v>3.0737704918032787</v>
      </c>
      <c r="AH292" s="9">
        <f>(Y292-Y256)/Y256*100</f>
        <v>6.3282794990112219</v>
      </c>
      <c r="AI292" s="9">
        <f>(Z292-Z256)/Z256*100</f>
        <v>11.358403683806587</v>
      </c>
      <c r="AJ292" s="9">
        <f>(AE292-AE256)/AE256*100</f>
        <v>5.0301810865191152</v>
      </c>
    </row>
    <row r="293" spans="1:38"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Q293">
        <v>154.5</v>
      </c>
      <c r="R293">
        <v>186.1</v>
      </c>
      <c r="S293">
        <v>159.6</v>
      </c>
      <c r="T293">
        <v>154.4</v>
      </c>
      <c r="U293">
        <v>158.9</v>
      </c>
      <c r="V293" t="s">
        <v>48</v>
      </c>
      <c r="W293">
        <v>156</v>
      </c>
      <c r="X293">
        <v>154.80000000000001</v>
      </c>
      <c r="Y293">
        <v>164.6</v>
      </c>
      <c r="Z293">
        <v>151.30000000000001</v>
      </c>
      <c r="AA293">
        <v>157.80000000000001</v>
      </c>
      <c r="AB293">
        <v>163.80000000000001</v>
      </c>
      <c r="AC293">
        <v>153.1</v>
      </c>
      <c r="AD293">
        <v>157.30000000000001</v>
      </c>
      <c r="AE293">
        <v>156.69999999999999</v>
      </c>
    </row>
    <row r="294" spans="1:38"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row>
    <row r="295" spans="1:38"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t="str">
        <f>IF(OR(B295&lt;2020,AND(B295=2020,C295&lt;&gt;"March")),"Before COVID","After COVID")</f>
        <v>After COVID</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c r="AF295" s="9">
        <f>(Q295-Q259)/Q259*100</f>
        <v>5.2384150436534469</v>
      </c>
      <c r="AG295" s="9">
        <f>(X295-X259)/X259*100</f>
        <v>3.2786885245901525</v>
      </c>
      <c r="AH295" s="9">
        <f>(Y295-Y259)/Y259*100</f>
        <v>6.1720288903479821</v>
      </c>
      <c r="AI295" s="9">
        <f>(Z295-Z259)/Z259*100</f>
        <v>12.548113933795213</v>
      </c>
      <c r="AJ295" s="9">
        <f>(AE295-AE259)/AE259*100</f>
        <v>5.5181695827725559</v>
      </c>
      <c r="AL295">
        <f>AVERAGE(AF259:AF373)</f>
        <v>6.0270616577123688</v>
      </c>
    </row>
    <row r="296" spans="1:38"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Q296">
        <v>155.6</v>
      </c>
      <c r="R296">
        <v>186.8</v>
      </c>
      <c r="S296">
        <v>160.69999999999999</v>
      </c>
      <c r="T296">
        <v>155.1</v>
      </c>
      <c r="U296">
        <v>159.9</v>
      </c>
      <c r="V296" t="s">
        <v>48</v>
      </c>
      <c r="W296">
        <v>156</v>
      </c>
      <c r="X296">
        <v>155.5</v>
      </c>
      <c r="Y296">
        <v>165.3</v>
      </c>
      <c r="Z296">
        <v>151.69999999999999</v>
      </c>
      <c r="AA296">
        <v>158.6</v>
      </c>
      <c r="AB296">
        <v>164.1</v>
      </c>
      <c r="AC296">
        <v>154.6</v>
      </c>
      <c r="AD296">
        <v>158</v>
      </c>
      <c r="AE296">
        <v>157.6</v>
      </c>
    </row>
    <row r="297" spans="1:38"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row>
    <row r="298" spans="1:38"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t="str">
        <f>IF(OR(B298&lt;2020,AND(B298=2020,C298&lt;&gt;"March")),"Before COVID","After COVID")</f>
        <v>After COVID</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c r="AF298" s="9">
        <f>(Q298-Q262)/Q262*100</f>
        <v>4.3593130779392304</v>
      </c>
      <c r="AG298" s="9" t="s">
        <v>32</v>
      </c>
      <c r="AH298" s="9">
        <f>(Y298-Y262)/Y262*100</f>
        <v>7.6974120769741363</v>
      </c>
      <c r="AI298" s="9" t="s">
        <v>32</v>
      </c>
      <c r="AJ298" s="9" t="s">
        <v>32</v>
      </c>
      <c r="AL298">
        <f>AVERAGE(AG292:AG373)</f>
        <v>6.7167907157375408</v>
      </c>
    </row>
    <row r="299" spans="1:38"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Q299">
        <v>158.69999999999999</v>
      </c>
      <c r="R299">
        <v>189.6</v>
      </c>
      <c r="S299">
        <v>165.3</v>
      </c>
      <c r="T299">
        <v>160.6</v>
      </c>
      <c r="U299">
        <v>164.5</v>
      </c>
      <c r="V299" t="s">
        <v>32</v>
      </c>
      <c r="W299">
        <v>161.69999999999999</v>
      </c>
      <c r="X299">
        <v>158.80000000000001</v>
      </c>
      <c r="Y299">
        <v>169.1</v>
      </c>
      <c r="Z299">
        <v>153.19999999999999</v>
      </c>
      <c r="AA299">
        <v>160</v>
      </c>
      <c r="AB299">
        <v>167.6</v>
      </c>
      <c r="AC299">
        <v>159.30000000000001</v>
      </c>
      <c r="AD299">
        <v>161.1</v>
      </c>
      <c r="AE299">
        <v>161.1</v>
      </c>
    </row>
    <row r="300" spans="1:38"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row>
    <row r="301" spans="1:38"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t="str">
        <f>IF(OR(B301&lt;2020,AND(B301=2020,C301&lt;&gt;"March")),"Before COVID","After COVID")</f>
        <v>After COVID</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c r="AF301" s="9" t="s">
        <v>32</v>
      </c>
      <c r="AG301" s="9" t="s">
        <v>32</v>
      </c>
      <c r="AH301" s="9" t="s">
        <v>32</v>
      </c>
      <c r="AI301" s="9" t="s">
        <v>32</v>
      </c>
      <c r="AJ301" s="9" t="s">
        <v>32</v>
      </c>
      <c r="AL301">
        <f>AVERAGE(AH259:AH373)</f>
        <v>6.1736108966633942</v>
      </c>
    </row>
    <row r="302" spans="1:38"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Q302">
        <v>160.5</v>
      </c>
      <c r="R302">
        <v>189.1</v>
      </c>
      <c r="S302">
        <v>165.3</v>
      </c>
      <c r="T302">
        <v>159.9</v>
      </c>
      <c r="U302">
        <v>164.6</v>
      </c>
      <c r="V302" t="s">
        <v>32</v>
      </c>
      <c r="W302">
        <v>162.1</v>
      </c>
      <c r="X302">
        <v>159.19999999999999</v>
      </c>
      <c r="Y302">
        <v>169.7</v>
      </c>
      <c r="Z302">
        <v>154.19999999999999</v>
      </c>
      <c r="AA302">
        <v>160.4</v>
      </c>
      <c r="AB302">
        <v>166.8</v>
      </c>
      <c r="AC302">
        <v>159.4</v>
      </c>
      <c r="AD302">
        <v>161.5</v>
      </c>
      <c r="AE302">
        <v>162.1</v>
      </c>
    </row>
    <row r="303" spans="1:38"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row>
    <row r="304" spans="1:38"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t="str">
        <f>IF(OR(B304&lt;2020,AND(B304=2020,C304&lt;&gt;"March")),"Before COVID","After COVID")</f>
        <v>After COVID</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c r="AF304" s="9">
        <f>(Q304-Q268)/Q268*100</f>
        <v>5.5844155844155807</v>
      </c>
      <c r="AG304" s="9">
        <f>(X304-X268)/X268*100</f>
        <v>5.7377049180327901</v>
      </c>
      <c r="AH304" s="9">
        <f>(Y304-Y268)/Y268*100</f>
        <v>7.7072538860103661</v>
      </c>
      <c r="AI304" s="9">
        <f>(Z304-Z268)/Z268*100</f>
        <v>11.629629629629621</v>
      </c>
      <c r="AJ304" s="9">
        <f>(AE304-AE268)/AE268*100</f>
        <v>6.2582345191040831</v>
      </c>
    </row>
    <row r="305" spans="1:36"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Q305">
        <v>161.69999999999999</v>
      </c>
      <c r="R305">
        <v>189.7</v>
      </c>
      <c r="S305">
        <v>166</v>
      </c>
      <c r="T305">
        <v>161.1</v>
      </c>
      <c r="U305">
        <v>165.3</v>
      </c>
      <c r="V305" t="s">
        <v>32</v>
      </c>
      <c r="W305">
        <v>162.5</v>
      </c>
      <c r="X305">
        <v>160.30000000000001</v>
      </c>
      <c r="Y305">
        <v>170.4</v>
      </c>
      <c r="Z305">
        <v>157.1</v>
      </c>
      <c r="AA305">
        <v>160.69999999999999</v>
      </c>
      <c r="AB305">
        <v>167.2</v>
      </c>
      <c r="AC305">
        <v>160.4</v>
      </c>
      <c r="AD305">
        <v>162.80000000000001</v>
      </c>
      <c r="AE305">
        <v>163.19999999999999</v>
      </c>
    </row>
    <row r="306" spans="1:36"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row>
    <row r="307" spans="1:36"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t="str">
        <f>IF(OR(B307&lt;2020,AND(B307=2020,C307&lt;&gt;"March")),"Before COVID","After COVID")</f>
        <v>After COVID</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c r="AF307" s="9">
        <f>(Q307-Q271)/Q271*100</f>
        <v>6.4935064935064926</v>
      </c>
      <c r="AG307" s="9">
        <f>(X307-X271)/X271*100</f>
        <v>6.4207650273224077</v>
      </c>
      <c r="AH307" s="9">
        <f>(Y307-Y271)/Y271*100</f>
        <v>8.1606217616580263</v>
      </c>
      <c r="AI307" s="9">
        <f>(Z307-Z271)/Z271*100</f>
        <v>13.407407407407405</v>
      </c>
      <c r="AJ307" s="9">
        <f>(AE307-AE271)/AE271*100</f>
        <v>7.0487483530961708</v>
      </c>
    </row>
    <row r="308" spans="1:36"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Q308">
        <v>161.80000000000001</v>
      </c>
      <c r="R308">
        <v>190.2</v>
      </c>
      <c r="S308">
        <v>167</v>
      </c>
      <c r="T308">
        <v>162.6</v>
      </c>
      <c r="U308">
        <v>166.3</v>
      </c>
      <c r="V308" t="s">
        <v>32</v>
      </c>
      <c r="W308">
        <v>163.1</v>
      </c>
      <c r="X308">
        <v>160.9</v>
      </c>
      <c r="Y308">
        <v>171.1</v>
      </c>
      <c r="Z308">
        <v>157.69999999999999</v>
      </c>
      <c r="AA308">
        <v>161.1</v>
      </c>
      <c r="AB308">
        <v>167.5</v>
      </c>
      <c r="AC308">
        <v>160.30000000000001</v>
      </c>
      <c r="AD308">
        <v>163.30000000000001</v>
      </c>
      <c r="AE308">
        <v>163.6</v>
      </c>
    </row>
    <row r="309" spans="1:36"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row>
    <row r="310" spans="1:36"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t="str">
        <f>IF(OR(B310&lt;2020,AND(B310=2020,C310&lt;&gt;"March")),"Before COVID","After COVID")</f>
        <v>After COVID</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c r="AF310" s="9">
        <f>(Q310-Q274)/Q274*100</f>
        <v>4.4585987261146496</v>
      </c>
      <c r="AG310" s="9">
        <f>(X310-X274)/X274*100</f>
        <v>6.1320754716981094</v>
      </c>
      <c r="AH310" s="9">
        <f>(Y310-Y274)/Y274*100</f>
        <v>8.6451612903225836</v>
      </c>
      <c r="AI310" s="9">
        <f>(Z310-Z274)/Z274*100</f>
        <v>11.191335740072201</v>
      </c>
      <c r="AJ310" s="9">
        <f>(AE310-AE274)/AE274*100</f>
        <v>6.0428849902534001</v>
      </c>
    </row>
    <row r="311" spans="1:36"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Q311">
        <v>162.1</v>
      </c>
      <c r="R311">
        <v>190.5</v>
      </c>
      <c r="S311">
        <v>167.7</v>
      </c>
      <c r="T311">
        <v>163.6</v>
      </c>
      <c r="U311">
        <v>167.1</v>
      </c>
      <c r="V311" t="s">
        <v>32</v>
      </c>
      <c r="W311">
        <v>163.69999999999999</v>
      </c>
      <c r="X311">
        <v>161.30000000000001</v>
      </c>
      <c r="Y311">
        <v>171.9</v>
      </c>
      <c r="Z311">
        <v>157.80000000000001</v>
      </c>
      <c r="AA311">
        <v>162.69999999999999</v>
      </c>
      <c r="AB311">
        <v>168.5</v>
      </c>
      <c r="AC311">
        <v>160.19999999999999</v>
      </c>
      <c r="AD311">
        <v>163.80000000000001</v>
      </c>
      <c r="AE311">
        <v>164</v>
      </c>
    </row>
    <row r="312" spans="1:36"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row>
    <row r="313" spans="1:36"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t="str">
        <f>IF(OR(B313&lt;2020,AND(B313=2020,C313&lt;&gt;"March")),"Before COVID","After COVID")</f>
        <v>After COVID</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c r="AF313" s="9">
        <f>(Q313-Q277)/Q277*100</f>
        <v>3.79746835443038</v>
      </c>
      <c r="AG313" s="9">
        <f>(X313-X277)/X277*100</f>
        <v>5.9179556153328932</v>
      </c>
      <c r="AH313" s="9">
        <f>(Y313-Y277)/Y277*100</f>
        <v>8.2262210796915252</v>
      </c>
      <c r="AI313" s="9">
        <f>(Z313-Z277)/Z277*100</f>
        <v>10.315186246418342</v>
      </c>
      <c r="AJ313" s="9">
        <f>(AE313-AE277)/AE277*100</f>
        <v>5.4945054945054954</v>
      </c>
    </row>
    <row r="314" spans="1:36"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Q314">
        <v>165.5</v>
      </c>
      <c r="R314">
        <v>191.2</v>
      </c>
      <c r="S314">
        <v>168.9</v>
      </c>
      <c r="T314">
        <v>164.8</v>
      </c>
      <c r="U314">
        <v>168.3</v>
      </c>
      <c r="V314" t="s">
        <v>32</v>
      </c>
      <c r="W314">
        <v>165.5</v>
      </c>
      <c r="X314">
        <v>162</v>
      </c>
      <c r="Y314">
        <v>172.5</v>
      </c>
      <c r="Z314">
        <v>159.5</v>
      </c>
      <c r="AA314">
        <v>163.19999999999999</v>
      </c>
      <c r="AB314">
        <v>169</v>
      </c>
      <c r="AC314">
        <v>161.1</v>
      </c>
      <c r="AD314">
        <v>164.7</v>
      </c>
      <c r="AE314">
        <v>166.3</v>
      </c>
    </row>
    <row r="315" spans="1:36"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row>
    <row r="316" spans="1:36"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t="str">
        <f>IF(OR(B316&lt;2020,AND(B316=2020,C316&lt;&gt;"March")),"Before COVID","After COVID")</f>
        <v>After COVID</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c r="AF316" s="9">
        <f>(Q316-Q280)/Q280*100</f>
        <v>3.903345724907052</v>
      </c>
      <c r="AG316" s="9">
        <f>(X316-X280)/X280*100</f>
        <v>6.5232010759919428</v>
      </c>
      <c r="AH316" s="9">
        <f>(Y316-Y280)/Y280*100</f>
        <v>8.1893793985924397</v>
      </c>
      <c r="AI316" s="9">
        <f>(Z316-Z280)/Z280*100</f>
        <v>10.739687055476525</v>
      </c>
      <c r="AJ316" s="9">
        <f>(AE316-AE280)/AE280*100</f>
        <v>5.8184143222506357</v>
      </c>
    </row>
    <row r="317" spans="1:36"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Q317">
        <v>167.5</v>
      </c>
      <c r="R317">
        <v>191.4</v>
      </c>
      <c r="S317">
        <v>170.4</v>
      </c>
      <c r="T317">
        <v>166</v>
      </c>
      <c r="U317">
        <v>169.8</v>
      </c>
      <c r="V317" t="s">
        <v>32</v>
      </c>
      <c r="W317">
        <v>165.3</v>
      </c>
      <c r="X317">
        <v>162.9</v>
      </c>
      <c r="Y317">
        <v>173.4</v>
      </c>
      <c r="Z317">
        <v>158.9</v>
      </c>
      <c r="AA317">
        <v>163.80000000000001</v>
      </c>
      <c r="AB317">
        <v>169.3</v>
      </c>
      <c r="AC317">
        <v>162.4</v>
      </c>
      <c r="AD317">
        <v>165.2</v>
      </c>
      <c r="AE317">
        <v>167.6</v>
      </c>
    </row>
    <row r="318" spans="1:36"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row>
    <row r="319" spans="1:36"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t="str">
        <f>IF(OR(B319&lt;2020,AND(B319=2020,C319&lt;&gt;"March")),"Before COVID","After COVID")</f>
        <v>After COVID</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c r="AF319" s="9">
        <f>(Q319-Q283)/Q283*100</f>
        <v>3.035822707953856</v>
      </c>
      <c r="AG319" s="9">
        <f>(X319-X283)/X283*100</f>
        <v>6.7694369973190502</v>
      </c>
      <c r="AH319" s="9">
        <f>(Y319-Y283)/Y283*100</f>
        <v>8.0788804071246929</v>
      </c>
      <c r="AI319" s="9">
        <f>(Z319-Z283)/Z283*100</f>
        <v>10.256410256410261</v>
      </c>
      <c r="AJ319" s="9">
        <f>(AE319-AE283)/AE283*100</f>
        <v>5.239898989898979</v>
      </c>
    </row>
    <row r="320" spans="1:36"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Q320">
        <v>165.8</v>
      </c>
      <c r="R320">
        <v>190.8</v>
      </c>
      <c r="S320">
        <v>171.8</v>
      </c>
      <c r="T320">
        <v>167.3</v>
      </c>
      <c r="U320">
        <v>171.2</v>
      </c>
      <c r="V320" t="s">
        <v>32</v>
      </c>
      <c r="W320">
        <v>165.6</v>
      </c>
      <c r="X320">
        <v>163.9</v>
      </c>
      <c r="Y320">
        <v>174</v>
      </c>
      <c r="Z320">
        <v>160.1</v>
      </c>
      <c r="AA320">
        <v>164.5</v>
      </c>
      <c r="AB320">
        <v>169.7</v>
      </c>
      <c r="AC320">
        <v>162.80000000000001</v>
      </c>
      <c r="AD320">
        <v>166</v>
      </c>
      <c r="AE320">
        <v>167</v>
      </c>
    </row>
    <row r="321" spans="1:36"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row>
    <row r="322" spans="1:36"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t="str">
        <f>IF(OR(B322&lt;2020,AND(B322=2020,C322&lt;&gt;"March")),"Before COVID","After COVID")</f>
        <v>After COVID</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c r="AF322" s="9">
        <f>(Q322-Q286)/Q286*100</f>
        <v>1.6928657799274383</v>
      </c>
      <c r="AG322" s="9">
        <f>(X322-X286)/X286*100</f>
        <v>7.0140280561122248</v>
      </c>
      <c r="AH322" s="9">
        <f>(Y322-Y286)/Y286*100</f>
        <v>7.7700568540745305</v>
      </c>
      <c r="AI322" s="9">
        <f>(Z322-Z286)/Z286*100</f>
        <v>10.660980810234543</v>
      </c>
      <c r="AJ322" s="9">
        <f>(AE322-AE286)/AE286*100</f>
        <v>4.5940843297671385</v>
      </c>
    </row>
    <row r="323" spans="1:36"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Q323">
        <v>164.1</v>
      </c>
      <c r="R323">
        <v>190.7</v>
      </c>
      <c r="S323">
        <v>173.2</v>
      </c>
      <c r="T323">
        <v>169.3</v>
      </c>
      <c r="U323">
        <v>172.7</v>
      </c>
      <c r="V323" t="s">
        <v>32</v>
      </c>
      <c r="W323">
        <v>165.8</v>
      </c>
      <c r="X323">
        <v>164.9</v>
      </c>
      <c r="Y323">
        <v>174.7</v>
      </c>
      <c r="Z323">
        <v>160.80000000000001</v>
      </c>
      <c r="AA323">
        <v>164.9</v>
      </c>
      <c r="AB323">
        <v>169.9</v>
      </c>
      <c r="AC323">
        <v>163.19999999999999</v>
      </c>
      <c r="AD323">
        <v>166.6</v>
      </c>
      <c r="AE323">
        <v>166.4</v>
      </c>
    </row>
    <row r="324" spans="1:36"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row>
    <row r="325" spans="1:36"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t="str">
        <f>IF(OR(B325&lt;2020,AND(B325=2020,C325&lt;&gt;"March")),"Before COVID","After COVID")</f>
        <v>After COVID</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c r="AF325" s="9">
        <f>(Q325-Q289)/Q289*100</f>
        <v>3.354037267080749</v>
      </c>
      <c r="AG325" s="9">
        <f>(X325-X289)/X289*100</f>
        <v>7.3999999999999968</v>
      </c>
      <c r="AH325" s="9">
        <f>(Y325-Y289)/Y289*100</f>
        <v>7.5957313245448796</v>
      </c>
      <c r="AI325" s="9">
        <f>(Z325-Z289)/Z289*100</f>
        <v>10.288935870331214</v>
      </c>
      <c r="AJ325" s="9">
        <f>(AE325-AE289)/AE289*100</f>
        <v>5.3401144310235074</v>
      </c>
    </row>
    <row r="326" spans="1:36"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Q326">
        <v>163.9</v>
      </c>
      <c r="R326">
        <v>191.5</v>
      </c>
      <c r="S326">
        <v>174.1</v>
      </c>
      <c r="T326">
        <v>171</v>
      </c>
      <c r="U326">
        <v>173.7</v>
      </c>
      <c r="V326" t="s">
        <v>32</v>
      </c>
      <c r="W326">
        <v>167.4</v>
      </c>
      <c r="X326">
        <v>165.7</v>
      </c>
      <c r="Y326">
        <v>175.3</v>
      </c>
      <c r="Z326">
        <v>161.19999999999999</v>
      </c>
      <c r="AA326">
        <v>165.5</v>
      </c>
      <c r="AB326">
        <v>170.3</v>
      </c>
      <c r="AC326">
        <v>164.5</v>
      </c>
      <c r="AD326">
        <v>167.3</v>
      </c>
      <c r="AE326">
        <v>166.7</v>
      </c>
    </row>
    <row r="327" spans="1:36"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Q327">
        <v>170.2</v>
      </c>
      <c r="R327">
        <v>196.5</v>
      </c>
      <c r="S327">
        <v>165.7</v>
      </c>
      <c r="T327">
        <v>150.4</v>
      </c>
      <c r="U327">
        <v>163.4</v>
      </c>
      <c r="V327">
        <v>165.5</v>
      </c>
      <c r="W327">
        <v>163</v>
      </c>
      <c r="X327">
        <v>157.4</v>
      </c>
      <c r="Y327">
        <v>167.2</v>
      </c>
      <c r="Z327">
        <v>153.1</v>
      </c>
      <c r="AA327">
        <v>159.5</v>
      </c>
      <c r="AB327">
        <v>162</v>
      </c>
      <c r="AC327">
        <v>164.2</v>
      </c>
      <c r="AD327">
        <v>159.4</v>
      </c>
      <c r="AE327">
        <v>165.5</v>
      </c>
    </row>
    <row r="328" spans="1:36"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t="str">
        <f>IF(OR(B328&lt;2020,AND(B328=2020,C328&lt;&gt;"March")),"Before COVID","After COVID")</f>
        <v>After COVID</v>
      </c>
      <c r="Q328">
        <v>166.2</v>
      </c>
      <c r="R328">
        <v>192.8</v>
      </c>
      <c r="S328">
        <v>170.8</v>
      </c>
      <c r="T328">
        <v>162.4</v>
      </c>
      <c r="U328">
        <v>169.6</v>
      </c>
      <c r="V328">
        <v>165.5</v>
      </c>
      <c r="W328">
        <v>165.7</v>
      </c>
      <c r="X328">
        <v>161.80000000000001</v>
      </c>
      <c r="Y328">
        <v>172.2</v>
      </c>
      <c r="Z328">
        <v>156.9</v>
      </c>
      <c r="AA328">
        <v>162.1</v>
      </c>
      <c r="AB328">
        <v>165.4</v>
      </c>
      <c r="AC328">
        <v>164.4</v>
      </c>
      <c r="AD328">
        <v>163.5</v>
      </c>
      <c r="AE328">
        <v>166.1</v>
      </c>
      <c r="AF328" s="9">
        <f>(Q328-Q292)/Q292*100</f>
        <v>5.9273422562141382</v>
      </c>
      <c r="AG328" s="9">
        <f>(X328-X292)/X292*100</f>
        <v>7.2233267064281019</v>
      </c>
      <c r="AH328" s="9">
        <f>(Y328-Y292)/Y292*100</f>
        <v>6.7575945443273264</v>
      </c>
      <c r="AI328" s="9">
        <f>(Z328-Z292)/Z292*100</f>
        <v>8.1323225361819524</v>
      </c>
      <c r="AJ328" s="9">
        <f>(AE328-AE292)/AE292*100</f>
        <v>6.0664112388250322</v>
      </c>
    </row>
    <row r="329" spans="1:36"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Q329">
        <v>166.6</v>
      </c>
      <c r="R329">
        <v>192.3</v>
      </c>
      <c r="S329">
        <v>175.4</v>
      </c>
      <c r="T329">
        <v>173.2</v>
      </c>
      <c r="U329">
        <v>175.1</v>
      </c>
      <c r="V329" t="s">
        <v>32</v>
      </c>
      <c r="W329">
        <v>168.9</v>
      </c>
      <c r="X329">
        <v>166.5</v>
      </c>
      <c r="Y329">
        <v>176</v>
      </c>
      <c r="Z329">
        <v>162</v>
      </c>
      <c r="AA329">
        <v>166.6</v>
      </c>
      <c r="AB329">
        <v>170.6</v>
      </c>
      <c r="AC329">
        <v>167.4</v>
      </c>
      <c r="AD329">
        <v>168.3</v>
      </c>
      <c r="AE329">
        <v>168.7</v>
      </c>
    </row>
    <row r="330" spans="1:36"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row>
    <row r="331" spans="1:36"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t="str">
        <f>IF(OR(B331&lt;2020,AND(B331=2020,C331&lt;&gt;"March")),"Before COVID","After COVID")</f>
        <v>After COVID</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c r="AF331" s="9">
        <f>(Q331-Q295)/Q295*100</f>
        <v>7.4664964901084989</v>
      </c>
      <c r="AG331" s="9">
        <f>(X331-X295)/X295*100</f>
        <v>7.6719576719576885</v>
      </c>
      <c r="AH331" s="9">
        <f>(Y331-Y295)/Y295*100</f>
        <v>6.9882498453927102</v>
      </c>
      <c r="AI331" s="9">
        <f>(Z331-Z295)/Z295*100</f>
        <v>8.0027359781121863</v>
      </c>
      <c r="AJ331" s="9">
        <f>(AE331-AE295)/AE295*100</f>
        <v>6.9515306122448823</v>
      </c>
    </row>
    <row r="332" spans="1:36"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Q332">
        <v>168.6</v>
      </c>
      <c r="R332">
        <v>192.8</v>
      </c>
      <c r="S332">
        <v>177.5</v>
      </c>
      <c r="T332">
        <v>175.1</v>
      </c>
      <c r="U332">
        <v>177.1</v>
      </c>
      <c r="V332" t="s">
        <v>32</v>
      </c>
      <c r="W332">
        <v>173.3</v>
      </c>
      <c r="X332">
        <v>167.7</v>
      </c>
      <c r="Y332">
        <v>177</v>
      </c>
      <c r="Z332">
        <v>166.2</v>
      </c>
      <c r="AA332">
        <v>167.2</v>
      </c>
      <c r="AB332">
        <v>170.9</v>
      </c>
      <c r="AC332">
        <v>169</v>
      </c>
      <c r="AD332">
        <v>170.2</v>
      </c>
      <c r="AE332">
        <v>170.8</v>
      </c>
    </row>
    <row r="333" spans="1:36"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row>
    <row r="334" spans="1:36"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t="str">
        <f>IF(OR(B334&lt;2020,AND(B334=2020,C334&lt;&gt;"March")),"Before COVID","After COVID")</f>
        <v>After COVID</v>
      </c>
      <c r="Q334">
        <v>170.8</v>
      </c>
      <c r="R334">
        <v>193.9</v>
      </c>
      <c r="S334">
        <v>173.9</v>
      </c>
      <c r="T334">
        <v>166.5</v>
      </c>
      <c r="U334">
        <v>172.8</v>
      </c>
      <c r="V334">
        <v>167</v>
      </c>
      <c r="W334">
        <v>172.2</v>
      </c>
      <c r="X334">
        <v>164</v>
      </c>
      <c r="Y334">
        <v>174</v>
      </c>
      <c r="Z334">
        <v>162.6</v>
      </c>
      <c r="AA334">
        <v>164.4</v>
      </c>
      <c r="AB334">
        <v>166.9</v>
      </c>
      <c r="AC334">
        <v>168.8</v>
      </c>
      <c r="AD334">
        <v>166.8</v>
      </c>
      <c r="AE334">
        <v>170.1</v>
      </c>
      <c r="AF334" s="9">
        <f>(Q334-Q298)/Q298*100</f>
        <v>8.1012658227848178</v>
      </c>
      <c r="AG334" s="9">
        <f>(X334-X298)/X298*100</f>
        <v>8.0368906455862898</v>
      </c>
      <c r="AH334" s="9">
        <f>(Y334-Y298)/Y298*100</f>
        <v>7.2088724584103439</v>
      </c>
      <c r="AI334" s="9">
        <f>(Z334-Z298)/Z298*100</f>
        <v>10.914051841746248</v>
      </c>
      <c r="AJ334" s="9">
        <f>(AE334-AE298)/AE298*100</f>
        <v>7.7946768060836389</v>
      </c>
    </row>
    <row r="335" spans="1:36"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Q335">
        <v>170.8</v>
      </c>
      <c r="R335">
        <v>192.9</v>
      </c>
      <c r="S335">
        <v>179.3</v>
      </c>
      <c r="T335">
        <v>177.2</v>
      </c>
      <c r="U335">
        <v>179</v>
      </c>
      <c r="V335" t="s">
        <v>32</v>
      </c>
      <c r="W335">
        <v>175.3</v>
      </c>
      <c r="X335">
        <v>168.9</v>
      </c>
      <c r="Y335">
        <v>177.7</v>
      </c>
      <c r="Z335">
        <v>167.1</v>
      </c>
      <c r="AA335">
        <v>167.6</v>
      </c>
      <c r="AB335">
        <v>171.8</v>
      </c>
      <c r="AC335">
        <v>168.5</v>
      </c>
      <c r="AD335">
        <v>170.9</v>
      </c>
      <c r="AE335">
        <v>172.5</v>
      </c>
    </row>
    <row r="336" spans="1:36"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row>
    <row r="337" spans="1:36"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t="str">
        <f>IF(OR(B337&lt;2020,AND(B337=2020,C337&lt;&gt;"March")),"Before COVID","After COVID")</f>
        <v>After COVID</v>
      </c>
      <c r="Q337">
        <v>173.3</v>
      </c>
      <c r="R337">
        <v>194.1</v>
      </c>
      <c r="S337">
        <v>175.6</v>
      </c>
      <c r="T337">
        <v>168.4</v>
      </c>
      <c r="U337">
        <v>174.6</v>
      </c>
      <c r="V337">
        <v>167.5</v>
      </c>
      <c r="W337">
        <v>174.6</v>
      </c>
      <c r="X337">
        <v>165.2</v>
      </c>
      <c r="Y337">
        <v>174.8</v>
      </c>
      <c r="Z337">
        <v>163</v>
      </c>
      <c r="AA337">
        <v>165.1</v>
      </c>
      <c r="AB337">
        <v>167.9</v>
      </c>
      <c r="AC337">
        <v>168.4</v>
      </c>
      <c r="AD337">
        <v>167.5</v>
      </c>
      <c r="AE337">
        <v>171.7</v>
      </c>
      <c r="AF337" s="9">
        <f>(Q337-Q301)/Q301*100</f>
        <v>7.8406969508400897</v>
      </c>
      <c r="AG337" s="9">
        <f>(X337-X301)/X301*100</f>
        <v>6.7873303167420822</v>
      </c>
      <c r="AH337" s="9">
        <f>(Y337-Y301)/Y301*100</f>
        <v>5.4282267792521104</v>
      </c>
      <c r="AI337" s="9">
        <f>(Z337-Z301)/Z301*100</f>
        <v>9.4694425789120178</v>
      </c>
      <c r="AJ337" s="9">
        <f>(AE337-AE301)/AE301*100</f>
        <v>7.044887780548617</v>
      </c>
    </row>
    <row r="338" spans="1:36"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Q338">
        <v>172.4</v>
      </c>
      <c r="R338">
        <v>192.9</v>
      </c>
      <c r="S338">
        <v>180.7</v>
      </c>
      <c r="T338">
        <v>178.7</v>
      </c>
      <c r="U338">
        <v>180.4</v>
      </c>
      <c r="V338" t="s">
        <v>32</v>
      </c>
      <c r="W338">
        <v>176.7</v>
      </c>
      <c r="X338">
        <v>170.3</v>
      </c>
      <c r="Y338">
        <v>178.2</v>
      </c>
      <c r="Z338">
        <v>165.5</v>
      </c>
      <c r="AA338">
        <v>168</v>
      </c>
      <c r="AB338">
        <v>172.6</v>
      </c>
      <c r="AC338">
        <v>169.5</v>
      </c>
      <c r="AD338">
        <v>171</v>
      </c>
      <c r="AE338">
        <v>173.6</v>
      </c>
    </row>
    <row r="339" spans="1:36"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row>
    <row r="340" spans="1:36"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t="str">
        <f>IF(OR(B340&lt;2020,AND(B340=2020,C340&lt;&gt;"March")),"Before COVID","After COVID")</f>
        <v>After COVID</v>
      </c>
      <c r="Q340">
        <v>174.9</v>
      </c>
      <c r="R340">
        <v>194.3</v>
      </c>
      <c r="S340">
        <v>177.1</v>
      </c>
      <c r="T340">
        <v>169.9</v>
      </c>
      <c r="U340">
        <v>176</v>
      </c>
      <c r="V340">
        <v>166.8</v>
      </c>
      <c r="W340">
        <v>176</v>
      </c>
      <c r="X340">
        <v>166.4</v>
      </c>
      <c r="Y340">
        <v>175.4</v>
      </c>
      <c r="Z340">
        <v>161.1</v>
      </c>
      <c r="AA340">
        <v>165.8</v>
      </c>
      <c r="AB340">
        <v>169</v>
      </c>
      <c r="AC340">
        <v>169.4</v>
      </c>
      <c r="AD340">
        <v>167.5</v>
      </c>
      <c r="AE340">
        <v>172.6</v>
      </c>
      <c r="AF340" s="9">
        <f>(Q340-Q304)/Q304*100</f>
        <v>7.5645756457564648</v>
      </c>
      <c r="AG340" s="9">
        <f>(X340-X304)/X304*100</f>
        <v>7.4935400516795827</v>
      </c>
      <c r="AH340" s="9">
        <f>(Y340-Y304)/Y304*100</f>
        <v>5.4720384846662622</v>
      </c>
      <c r="AI340" s="9">
        <f>(Z340-Z304)/Z304*100</f>
        <v>6.9011280690112846</v>
      </c>
      <c r="AJ340" s="9">
        <f>(AE340-AE304)/AE304*100</f>
        <v>7.0055796652200755</v>
      </c>
    </row>
    <row r="341" spans="1:36"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Q341">
        <v>172.5</v>
      </c>
      <c r="R341">
        <v>193.2</v>
      </c>
      <c r="S341">
        <v>182</v>
      </c>
      <c r="T341">
        <v>180.3</v>
      </c>
      <c r="U341">
        <v>181.7</v>
      </c>
      <c r="V341" t="s">
        <v>32</v>
      </c>
      <c r="W341">
        <v>179.6</v>
      </c>
      <c r="X341">
        <v>171.3</v>
      </c>
      <c r="Y341">
        <v>178.8</v>
      </c>
      <c r="Z341">
        <v>166.3</v>
      </c>
      <c r="AA341">
        <v>168.6</v>
      </c>
      <c r="AB341">
        <v>174.7</v>
      </c>
      <c r="AC341">
        <v>169.7</v>
      </c>
      <c r="AD341">
        <v>171.8</v>
      </c>
      <c r="AE341">
        <v>174.3</v>
      </c>
    </row>
    <row r="342" spans="1:36"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row>
    <row r="343" spans="1:36"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t="str">
        <f>IF(OR(B343&lt;2020,AND(B343=2020,C343&lt;&gt;"March")),"Before COVID","After COVID")</f>
        <v>After COVID</v>
      </c>
      <c r="Q343">
        <v>175</v>
      </c>
      <c r="R343">
        <v>194.6</v>
      </c>
      <c r="S343">
        <v>178.3</v>
      </c>
      <c r="T343">
        <v>171.3</v>
      </c>
      <c r="U343">
        <v>177.3</v>
      </c>
      <c r="V343">
        <v>167.8</v>
      </c>
      <c r="W343">
        <v>179.6</v>
      </c>
      <c r="X343">
        <v>167.4</v>
      </c>
      <c r="Y343">
        <v>176.1</v>
      </c>
      <c r="Z343">
        <v>161.6</v>
      </c>
      <c r="AA343">
        <v>166.3</v>
      </c>
      <c r="AB343">
        <v>171.4</v>
      </c>
      <c r="AC343">
        <v>169.7</v>
      </c>
      <c r="AD343">
        <v>168.4</v>
      </c>
      <c r="AE343">
        <v>173.4</v>
      </c>
      <c r="AF343" s="9">
        <f>(Q343-Q307)/Q307*100</f>
        <v>6.7073170731707323</v>
      </c>
      <c r="AG343" s="9">
        <f>(X343-X307)/X307*100</f>
        <v>7.4454428754813824</v>
      </c>
      <c r="AH343" s="9">
        <f>(Y343-Y307)/Y307*100</f>
        <v>5.4491017964071826</v>
      </c>
      <c r="AI343" s="9">
        <f>(Z343-Z307)/Z307*100</f>
        <v>5.5519268451992163</v>
      </c>
      <c r="AJ343" s="9">
        <f>(AE343-AE307)/AE307*100</f>
        <v>6.7076923076923114</v>
      </c>
    </row>
    <row r="344" spans="1:36"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Q344">
        <v>173.9</v>
      </c>
      <c r="R344">
        <v>193.7</v>
      </c>
      <c r="S344">
        <v>183.2</v>
      </c>
      <c r="T344">
        <v>181.7</v>
      </c>
      <c r="U344">
        <v>183</v>
      </c>
      <c r="V344" t="s">
        <v>32</v>
      </c>
      <c r="W344">
        <v>179.1</v>
      </c>
      <c r="X344">
        <v>172.3</v>
      </c>
      <c r="Y344">
        <v>179.4</v>
      </c>
      <c r="Z344">
        <v>166.6</v>
      </c>
      <c r="AA344">
        <v>169.3</v>
      </c>
      <c r="AB344">
        <v>175.7</v>
      </c>
      <c r="AC344">
        <v>171.1</v>
      </c>
      <c r="AD344">
        <v>172.6</v>
      </c>
      <c r="AE344">
        <v>175.3</v>
      </c>
    </row>
    <row r="345" spans="1:36"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row>
    <row r="346" spans="1:36"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t="str">
        <f>IF(OR(B346&lt;2020,AND(B346=2020,C346&lt;&gt;"March")),"Before COVID","After COVID")</f>
        <v>After COVID</v>
      </c>
      <c r="Q346">
        <v>176.3</v>
      </c>
      <c r="R346">
        <v>195</v>
      </c>
      <c r="S346">
        <v>179.5</v>
      </c>
      <c r="T346">
        <v>172.7</v>
      </c>
      <c r="U346">
        <v>178.5</v>
      </c>
      <c r="V346">
        <v>169</v>
      </c>
      <c r="W346">
        <v>178.8</v>
      </c>
      <c r="X346">
        <v>168.5</v>
      </c>
      <c r="Y346">
        <v>176.8</v>
      </c>
      <c r="Z346">
        <v>161.9</v>
      </c>
      <c r="AA346">
        <v>166.9</v>
      </c>
      <c r="AB346">
        <v>172.3</v>
      </c>
      <c r="AC346">
        <v>171.2</v>
      </c>
      <c r="AD346">
        <v>169.1</v>
      </c>
      <c r="AE346">
        <v>174.3</v>
      </c>
      <c r="AF346" s="9">
        <f>(Q346-Q310)/Q310*100</f>
        <v>7.5000000000000071</v>
      </c>
      <c r="AG346" s="9">
        <f>(X346-X310)/X310*100</f>
        <v>6.9841269841269842</v>
      </c>
      <c r="AH346" s="9">
        <f>(Y346-Y310)/Y310*100</f>
        <v>4.9881235154394332</v>
      </c>
      <c r="AI346" s="9">
        <f>(Z346-Z310)/Z310*100</f>
        <v>5.1298701298701337</v>
      </c>
      <c r="AJ346" s="9">
        <f>(AE346-AE310)/AE310*100</f>
        <v>6.8014705882353086</v>
      </c>
    </row>
    <row r="347" spans="1:36"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Q347">
        <v>175.5</v>
      </c>
      <c r="R347">
        <v>194.5</v>
      </c>
      <c r="S347">
        <v>184.7</v>
      </c>
      <c r="T347">
        <v>183.3</v>
      </c>
      <c r="U347">
        <v>184.5</v>
      </c>
      <c r="V347" t="s">
        <v>32</v>
      </c>
      <c r="W347">
        <v>179.7</v>
      </c>
      <c r="X347">
        <v>173.6</v>
      </c>
      <c r="Y347">
        <v>180.2</v>
      </c>
      <c r="Z347">
        <v>166.9</v>
      </c>
      <c r="AA347">
        <v>170</v>
      </c>
      <c r="AB347">
        <v>176.2</v>
      </c>
      <c r="AC347">
        <v>170.8</v>
      </c>
      <c r="AD347">
        <v>173.1</v>
      </c>
      <c r="AE347">
        <v>176.4</v>
      </c>
    </row>
    <row r="348" spans="1:36"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row>
    <row r="349" spans="1:36"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t="str">
        <f>IF(OR(B349&lt;2020,AND(B349=2020,C349&lt;&gt;"March")),"Before COVID","After COVID")</f>
        <v>After COVID</v>
      </c>
      <c r="Q349">
        <v>177.8</v>
      </c>
      <c r="R349">
        <v>195.9</v>
      </c>
      <c r="S349">
        <v>180.9</v>
      </c>
      <c r="T349">
        <v>174.3</v>
      </c>
      <c r="U349">
        <v>179.9</v>
      </c>
      <c r="V349">
        <v>169.5</v>
      </c>
      <c r="W349">
        <v>179.5</v>
      </c>
      <c r="X349">
        <v>169.5</v>
      </c>
      <c r="Y349">
        <v>177.8</v>
      </c>
      <c r="Z349">
        <v>162.30000000000001</v>
      </c>
      <c r="AA349">
        <v>167.6</v>
      </c>
      <c r="AB349">
        <v>173.1</v>
      </c>
      <c r="AC349">
        <v>170.9</v>
      </c>
      <c r="AD349">
        <v>169.7</v>
      </c>
      <c r="AE349">
        <v>175.3</v>
      </c>
      <c r="AF349" s="9">
        <f>(Q349-Q313)/Q313*100</f>
        <v>8.41463414634147</v>
      </c>
      <c r="AG349" s="9">
        <f>(X349-X313)/X313*100</f>
        <v>7.6190476190476195</v>
      </c>
      <c r="AH349" s="9">
        <f>(Y349-Y313)/Y313*100</f>
        <v>5.5819477434679365</v>
      </c>
      <c r="AI349" s="9">
        <f>(Z349-Z313)/Z313*100</f>
        <v>5.3896103896103966</v>
      </c>
      <c r="AJ349" s="9">
        <f>(AE349-AE313)/AE313*100</f>
        <v>7.4142156862745239</v>
      </c>
    </row>
    <row r="350" spans="1:36"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Q350">
        <v>177.4</v>
      </c>
      <c r="R350">
        <v>194.9</v>
      </c>
      <c r="S350">
        <v>186.1</v>
      </c>
      <c r="T350">
        <v>184.4</v>
      </c>
      <c r="U350">
        <v>185.9</v>
      </c>
      <c r="V350" t="s">
        <v>32</v>
      </c>
      <c r="W350">
        <v>180.8</v>
      </c>
      <c r="X350">
        <v>174.4</v>
      </c>
      <c r="Y350">
        <v>181.2</v>
      </c>
      <c r="Z350">
        <v>167.4</v>
      </c>
      <c r="AA350">
        <v>170.6</v>
      </c>
      <c r="AB350">
        <v>176.5</v>
      </c>
      <c r="AC350">
        <v>172</v>
      </c>
      <c r="AD350">
        <v>173.9</v>
      </c>
      <c r="AE350">
        <v>177.9</v>
      </c>
    </row>
    <row r="351" spans="1:36"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row>
    <row r="352" spans="1:36"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t="str">
        <f>IF(OR(B352&lt;2020,AND(B352=2020,C352&lt;&gt;"March")),"Before COVID","After COVID")</f>
        <v>After COVID</v>
      </c>
      <c r="Q352">
        <v>179.6</v>
      </c>
      <c r="R352">
        <v>196.3</v>
      </c>
      <c r="S352">
        <v>181.9</v>
      </c>
      <c r="T352">
        <v>175.3</v>
      </c>
      <c r="U352">
        <v>181</v>
      </c>
      <c r="V352">
        <v>171.2</v>
      </c>
      <c r="W352">
        <v>180.5</v>
      </c>
      <c r="X352">
        <v>170.4</v>
      </c>
      <c r="Y352">
        <v>178.7</v>
      </c>
      <c r="Z352">
        <v>162.9</v>
      </c>
      <c r="AA352">
        <v>168.2</v>
      </c>
      <c r="AB352">
        <v>173.4</v>
      </c>
      <c r="AC352">
        <v>172.1</v>
      </c>
      <c r="AD352">
        <v>170.5</v>
      </c>
      <c r="AE352">
        <v>176.7</v>
      </c>
      <c r="AF352" s="9">
        <f>(Q352-Q316)/Q316*100</f>
        <v>7.0960047704233791</v>
      </c>
      <c r="AG352" s="9">
        <f>(X352-X316)/X316*100</f>
        <v>7.5757575757575761</v>
      </c>
      <c r="AH352" s="9">
        <f>(Y352-Y316)/Y316*100</f>
        <v>5.6771141336487254</v>
      </c>
      <c r="AI352" s="9">
        <f>(Z352-Z316)/Z316*100</f>
        <v>4.6242774566474107</v>
      </c>
      <c r="AJ352" s="9">
        <f>(AE352-AE316)/AE316*100</f>
        <v>6.7673716012084526</v>
      </c>
    </row>
    <row r="353" spans="1:36"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Q353">
        <v>176.6</v>
      </c>
      <c r="R353">
        <v>195.5</v>
      </c>
      <c r="S353">
        <v>187.2</v>
      </c>
      <c r="T353">
        <v>185.2</v>
      </c>
      <c r="U353">
        <v>186.9</v>
      </c>
      <c r="V353" t="s">
        <v>32</v>
      </c>
      <c r="W353">
        <v>181.9</v>
      </c>
      <c r="X353">
        <v>175.5</v>
      </c>
      <c r="Y353">
        <v>182.3</v>
      </c>
      <c r="Z353">
        <v>167.5</v>
      </c>
      <c r="AA353">
        <v>170.8</v>
      </c>
      <c r="AB353">
        <v>176.9</v>
      </c>
      <c r="AC353">
        <v>173.4</v>
      </c>
      <c r="AD353">
        <v>174.6</v>
      </c>
      <c r="AE353">
        <v>177.8</v>
      </c>
    </row>
    <row r="354" spans="1:36"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Q354">
        <v>181.3</v>
      </c>
      <c r="R354">
        <v>200.6</v>
      </c>
      <c r="S354">
        <v>176.7</v>
      </c>
      <c r="T354">
        <v>163.5</v>
      </c>
      <c r="U354">
        <v>174.7</v>
      </c>
      <c r="V354">
        <v>171.8</v>
      </c>
      <c r="W354">
        <v>180.3</v>
      </c>
      <c r="X354">
        <v>166.9</v>
      </c>
      <c r="Y354">
        <v>175.8</v>
      </c>
      <c r="Z354">
        <v>158.9</v>
      </c>
      <c r="AA354">
        <v>166.7</v>
      </c>
      <c r="AB354">
        <v>171.5</v>
      </c>
      <c r="AC354">
        <v>173.8</v>
      </c>
      <c r="AD354">
        <v>167.4</v>
      </c>
      <c r="AE354">
        <v>174.1</v>
      </c>
    </row>
    <row r="355" spans="1:36"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t="str">
        <f>IF(OR(B355&lt;2020,AND(B355=2020,C355&lt;&gt;"March")),"Before COVID","After COVID")</f>
        <v>After COVID</v>
      </c>
      <c r="Q355">
        <v>178.3</v>
      </c>
      <c r="R355">
        <v>196.9</v>
      </c>
      <c r="S355">
        <v>183.1</v>
      </c>
      <c r="T355">
        <v>176.2</v>
      </c>
      <c r="U355">
        <v>182.1</v>
      </c>
      <c r="V355">
        <v>171.8</v>
      </c>
      <c r="W355">
        <v>181.3</v>
      </c>
      <c r="X355">
        <v>171.4</v>
      </c>
      <c r="Y355">
        <v>179.8</v>
      </c>
      <c r="Z355">
        <v>163</v>
      </c>
      <c r="AA355">
        <v>168.5</v>
      </c>
      <c r="AB355">
        <v>173.7</v>
      </c>
      <c r="AC355">
        <v>173.6</v>
      </c>
      <c r="AD355">
        <v>171.1</v>
      </c>
      <c r="AE355">
        <v>176.5</v>
      </c>
      <c r="AF355" s="9">
        <f>(Q355-Q319)/Q319*100</f>
        <v>5.0677666470241736</v>
      </c>
      <c r="AG355" s="9">
        <f>(X355-X319)/X319*100</f>
        <v>7.5957313245448796</v>
      </c>
      <c r="AH355" s="9">
        <f>(Y355-Y319)/Y319*100</f>
        <v>5.8269570335491494</v>
      </c>
      <c r="AI355" s="9">
        <f>(Z355-Z319)/Z319*100</f>
        <v>5.2971576227390109</v>
      </c>
      <c r="AJ355" s="9">
        <f>(AE355-AE319)/AE319*100</f>
        <v>5.8788242351529769</v>
      </c>
    </row>
    <row r="356" spans="1:36"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Q356">
        <v>174.4</v>
      </c>
      <c r="R356">
        <v>195.9</v>
      </c>
      <c r="S356">
        <v>188.1</v>
      </c>
      <c r="T356">
        <v>185.9</v>
      </c>
      <c r="U356">
        <v>187.8</v>
      </c>
      <c r="V356" t="s">
        <v>32</v>
      </c>
      <c r="W356">
        <v>182.8</v>
      </c>
      <c r="X356">
        <v>176.4</v>
      </c>
      <c r="Y356">
        <v>183.5</v>
      </c>
      <c r="Z356">
        <v>167.8</v>
      </c>
      <c r="AA356">
        <v>171.2</v>
      </c>
      <c r="AB356">
        <v>177.3</v>
      </c>
      <c r="AC356">
        <v>175.7</v>
      </c>
      <c r="AD356">
        <v>175.5</v>
      </c>
      <c r="AE356">
        <v>177.1</v>
      </c>
    </row>
    <row r="357" spans="1:36"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Q357">
        <v>178.6</v>
      </c>
      <c r="R357">
        <v>201.1</v>
      </c>
      <c r="S357">
        <v>177.7</v>
      </c>
      <c r="T357">
        <v>164.5</v>
      </c>
      <c r="U357">
        <v>175.7</v>
      </c>
      <c r="V357">
        <v>170.7</v>
      </c>
      <c r="W357">
        <v>180.6</v>
      </c>
      <c r="X357">
        <v>167.3</v>
      </c>
      <c r="Y357">
        <v>177.2</v>
      </c>
      <c r="Z357">
        <v>159.4</v>
      </c>
      <c r="AA357">
        <v>167.1</v>
      </c>
      <c r="AB357">
        <v>171.8</v>
      </c>
      <c r="AC357">
        <v>176</v>
      </c>
      <c r="AD357">
        <v>168.2</v>
      </c>
      <c r="AE357">
        <v>174.1</v>
      </c>
    </row>
    <row r="358" spans="1:36"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t="str">
        <f>IF(OR(B358&lt;2020,AND(B358=2020,C358&lt;&gt;"March")),"Before COVID","After COVID")</f>
        <v>After COVID</v>
      </c>
      <c r="Q358">
        <v>175.9</v>
      </c>
      <c r="R358">
        <v>197.3</v>
      </c>
      <c r="S358">
        <v>184</v>
      </c>
      <c r="T358">
        <v>177</v>
      </c>
      <c r="U358">
        <v>183</v>
      </c>
      <c r="V358">
        <v>170.7</v>
      </c>
      <c r="W358">
        <v>182</v>
      </c>
      <c r="X358">
        <v>172.1</v>
      </c>
      <c r="Y358">
        <v>181.1</v>
      </c>
      <c r="Z358">
        <v>163.4</v>
      </c>
      <c r="AA358">
        <v>168.9</v>
      </c>
      <c r="AB358">
        <v>174.1</v>
      </c>
      <c r="AC358">
        <v>175.8</v>
      </c>
      <c r="AD358">
        <v>172</v>
      </c>
      <c r="AE358">
        <v>175.7</v>
      </c>
      <c r="AF358" s="9">
        <f>(Q358-Q322)/Q322*100</f>
        <v>4.5778834720570849</v>
      </c>
      <c r="AG358" s="9">
        <f>(X358-X322)/X322*100</f>
        <v>7.4282147315855225</v>
      </c>
      <c r="AH358" s="9">
        <f>(Y358-Y322)/Y322*100</f>
        <v>6.1547479484173513</v>
      </c>
      <c r="AI358" s="9">
        <f>(Z358-Z322)/Z322*100</f>
        <v>4.945407835581257</v>
      </c>
      <c r="AJ358" s="9">
        <f>(AE358-AE322)/AE322*100</f>
        <v>5.7160048134777384</v>
      </c>
    </row>
    <row r="359" spans="1:36"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Q359">
        <v>175</v>
      </c>
      <c r="R359">
        <v>196.9</v>
      </c>
      <c r="S359">
        <v>189</v>
      </c>
      <c r="T359">
        <v>186.3</v>
      </c>
      <c r="U359">
        <v>188.6</v>
      </c>
      <c r="V359" t="s">
        <v>32</v>
      </c>
      <c r="W359">
        <v>183.2</v>
      </c>
      <c r="X359">
        <v>177.2</v>
      </c>
      <c r="Y359">
        <v>184.7</v>
      </c>
      <c r="Z359">
        <v>168.2</v>
      </c>
      <c r="AA359">
        <v>171.8</v>
      </c>
      <c r="AB359">
        <v>177.8</v>
      </c>
      <c r="AC359">
        <v>178.4</v>
      </c>
      <c r="AD359">
        <v>176.5</v>
      </c>
      <c r="AE359">
        <v>177.8</v>
      </c>
    </row>
    <row r="360" spans="1:36"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Q360">
        <v>179.5</v>
      </c>
      <c r="R360">
        <v>201.6</v>
      </c>
      <c r="S360">
        <v>178.7</v>
      </c>
      <c r="T360">
        <v>165.3</v>
      </c>
      <c r="U360">
        <v>176.6</v>
      </c>
      <c r="V360">
        <v>172.1</v>
      </c>
      <c r="W360">
        <v>180.1</v>
      </c>
      <c r="X360">
        <v>168</v>
      </c>
      <c r="Y360">
        <v>178.5</v>
      </c>
      <c r="Z360">
        <v>159.5</v>
      </c>
      <c r="AA360">
        <v>167.8</v>
      </c>
      <c r="AB360">
        <v>171.8</v>
      </c>
      <c r="AC360">
        <v>178.8</v>
      </c>
      <c r="AD360">
        <v>168.9</v>
      </c>
      <c r="AE360">
        <v>174.9</v>
      </c>
    </row>
    <row r="361" spans="1:36"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t="str">
        <f>IF(OR(B361&lt;2020,AND(B361=2020,C361&lt;&gt;"March")),"Before COVID","After COVID")</f>
        <v>After COVID</v>
      </c>
      <c r="Q361">
        <v>176.7</v>
      </c>
      <c r="R361">
        <v>198.2</v>
      </c>
      <c r="S361">
        <v>184.9</v>
      </c>
      <c r="T361">
        <v>177.6</v>
      </c>
      <c r="U361">
        <v>183.8</v>
      </c>
      <c r="V361">
        <v>172.1</v>
      </c>
      <c r="W361">
        <v>182</v>
      </c>
      <c r="X361">
        <v>172.9</v>
      </c>
      <c r="Y361">
        <v>182.3</v>
      </c>
      <c r="Z361">
        <v>163.6</v>
      </c>
      <c r="AA361">
        <v>169.5</v>
      </c>
      <c r="AB361">
        <v>174.3</v>
      </c>
      <c r="AC361">
        <v>178.6</v>
      </c>
      <c r="AD361">
        <v>172.8</v>
      </c>
      <c r="AE361">
        <v>176.5</v>
      </c>
      <c r="AF361" s="9">
        <f>(Q361-Q325)/Q325*100</f>
        <v>6.189903846153836</v>
      </c>
      <c r="AG361" s="9">
        <f>(X361-X325)/X325*100</f>
        <v>7.3246430788330308</v>
      </c>
      <c r="AH361" s="9">
        <f>(Y361-Y325)/Y325*100</f>
        <v>6.3593932322053712</v>
      </c>
      <c r="AI361" s="9">
        <f>(Z361-Z325)/Z325*100</f>
        <v>4.5367412140575043</v>
      </c>
      <c r="AJ361" s="9">
        <f>(AE361-AE325)/AE325*100</f>
        <v>6.5178032589016377</v>
      </c>
    </row>
    <row r="362" spans="1:36"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Q362">
        <v>174.8</v>
      </c>
      <c r="R362">
        <v>198.3</v>
      </c>
      <c r="S362">
        <v>190</v>
      </c>
      <c r="T362">
        <v>187</v>
      </c>
      <c r="U362">
        <v>189.6</v>
      </c>
      <c r="V362" t="s">
        <v>32</v>
      </c>
      <c r="W362">
        <v>181.6</v>
      </c>
      <c r="X362">
        <v>178.6</v>
      </c>
      <c r="Y362">
        <v>186.6</v>
      </c>
      <c r="Z362">
        <v>169</v>
      </c>
      <c r="AA362">
        <v>172.8</v>
      </c>
      <c r="AB362">
        <v>178.5</v>
      </c>
      <c r="AC362">
        <v>180.7</v>
      </c>
      <c r="AD362">
        <v>177.9</v>
      </c>
      <c r="AE362">
        <v>178</v>
      </c>
    </row>
    <row r="363" spans="1:36"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row>
    <row r="364" spans="1:36"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t="str">
        <f>IF(OR(B364&lt;2020,AND(B364=2020,C364&lt;&gt;"March")),"Before COVID","After COVID")</f>
        <v>After COVID</v>
      </c>
      <c r="Q364">
        <v>177</v>
      </c>
      <c r="R364">
        <v>199.5</v>
      </c>
      <c r="S364">
        <v>186.2</v>
      </c>
      <c r="T364">
        <v>178.7</v>
      </c>
      <c r="U364">
        <v>185.1</v>
      </c>
      <c r="V364">
        <v>173.5</v>
      </c>
      <c r="W364">
        <v>182.1</v>
      </c>
      <c r="X364">
        <v>174.2</v>
      </c>
      <c r="Y364">
        <v>184.4</v>
      </c>
      <c r="Z364">
        <v>164.2</v>
      </c>
      <c r="AA364">
        <v>170.3</v>
      </c>
      <c r="AB364">
        <v>175</v>
      </c>
      <c r="AC364">
        <v>181</v>
      </c>
      <c r="AD364">
        <v>174.1</v>
      </c>
      <c r="AE364">
        <v>177.2</v>
      </c>
      <c r="AF364" s="9">
        <f>(Q364-Q328)/Q328*100</f>
        <v>6.4981949458483834</v>
      </c>
      <c r="AG364" s="9">
        <f>(X364-X328)/X328*100</f>
        <v>7.6637824474659926</v>
      </c>
      <c r="AH364" s="9">
        <f>(Y364-Y328)/Y328*100</f>
        <v>7.0847851335656316</v>
      </c>
      <c r="AI364" s="9">
        <f>(Z364-Z328)/Z328*100</f>
        <v>4.6526449968132457</v>
      </c>
      <c r="AJ364" s="9">
        <f>(AE364-AE328)/AE328*100</f>
        <v>6.6827212522576733</v>
      </c>
    </row>
    <row r="365" spans="1:36"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Q365">
        <v>174.8</v>
      </c>
      <c r="R365">
        <v>198.4</v>
      </c>
      <c r="S365">
        <v>190</v>
      </c>
      <c r="T365">
        <v>187</v>
      </c>
      <c r="U365">
        <v>189.6</v>
      </c>
      <c r="V365" t="s">
        <v>32</v>
      </c>
      <c r="W365">
        <v>181.4</v>
      </c>
      <c r="X365">
        <v>178.6</v>
      </c>
      <c r="Y365">
        <v>186.6</v>
      </c>
      <c r="Z365">
        <v>169</v>
      </c>
      <c r="AA365">
        <v>172.8</v>
      </c>
      <c r="AB365">
        <v>178.5</v>
      </c>
      <c r="AC365">
        <v>180.7</v>
      </c>
      <c r="AD365">
        <v>177.9</v>
      </c>
      <c r="AE365">
        <v>178</v>
      </c>
    </row>
    <row r="366" spans="1:36"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row>
    <row r="367" spans="1:36"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t="str">
        <f>IF(OR(B367&lt;2020,AND(B367=2020,C367&lt;&gt;"March")),"Before COVID","After COVID")</f>
        <v>After COVID</v>
      </c>
      <c r="Q367">
        <v>177</v>
      </c>
      <c r="R367">
        <v>199.5</v>
      </c>
      <c r="S367">
        <v>186.1</v>
      </c>
      <c r="T367">
        <v>178.7</v>
      </c>
      <c r="U367">
        <v>185.1</v>
      </c>
      <c r="V367">
        <v>173.5</v>
      </c>
      <c r="W367">
        <v>181.9</v>
      </c>
      <c r="X367">
        <v>174.2</v>
      </c>
      <c r="Y367">
        <v>184.4</v>
      </c>
      <c r="Z367">
        <v>164.2</v>
      </c>
      <c r="AA367">
        <v>170.3</v>
      </c>
      <c r="AB367">
        <v>175</v>
      </c>
      <c r="AC367">
        <v>181</v>
      </c>
      <c r="AD367">
        <v>174.1</v>
      </c>
      <c r="AE367">
        <v>177.2</v>
      </c>
      <c r="AF367" s="9">
        <f>(Q367-Q331)/Q331*100</f>
        <v>5.1068883610451268</v>
      </c>
      <c r="AG367" s="9">
        <f>(X367-X331)/X331*100</f>
        <v>7.0024570024569881</v>
      </c>
      <c r="AH367" s="9">
        <f>(Y367-Y331)/Y331*100</f>
        <v>6.5895953757225474</v>
      </c>
      <c r="AI367" s="9">
        <f>(Z367-Z331)/Z331*100</f>
        <v>3.9898670044331745</v>
      </c>
      <c r="AJ367" s="9">
        <f>(AE367-AE331)/AE331*100</f>
        <v>5.6648777579010146</v>
      </c>
    </row>
    <row r="368" spans="1:36"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Q368">
        <v>175.5</v>
      </c>
      <c r="R368">
        <v>199.5</v>
      </c>
      <c r="S368">
        <v>190.7</v>
      </c>
      <c r="T368">
        <v>187.3</v>
      </c>
      <c r="U368">
        <v>190.2</v>
      </c>
      <c r="V368" t="s">
        <v>48</v>
      </c>
      <c r="W368">
        <v>181.5</v>
      </c>
      <c r="X368">
        <v>179.1</v>
      </c>
      <c r="Y368">
        <v>187.2</v>
      </c>
      <c r="Z368">
        <v>169.4</v>
      </c>
      <c r="AA368">
        <v>173.2</v>
      </c>
      <c r="AB368">
        <v>179.4</v>
      </c>
      <c r="AC368">
        <v>183.8</v>
      </c>
      <c r="AD368">
        <v>178.9</v>
      </c>
      <c r="AE368">
        <v>178.8</v>
      </c>
    </row>
    <row r="369" spans="1:36"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Q369">
        <v>182.1</v>
      </c>
      <c r="R369">
        <v>203.5</v>
      </c>
      <c r="S369">
        <v>181</v>
      </c>
      <c r="T369">
        <v>167.7</v>
      </c>
      <c r="U369">
        <v>178.9</v>
      </c>
      <c r="V369">
        <v>175.2</v>
      </c>
      <c r="W369">
        <v>182.1</v>
      </c>
      <c r="X369">
        <v>169.6</v>
      </c>
      <c r="Y369">
        <v>181.5</v>
      </c>
      <c r="Z369">
        <v>160.1</v>
      </c>
      <c r="AA369">
        <v>168.8</v>
      </c>
      <c r="AB369">
        <v>174.2</v>
      </c>
      <c r="AC369">
        <v>184.4</v>
      </c>
      <c r="AD369">
        <v>170.9</v>
      </c>
      <c r="AE369">
        <v>177.4</v>
      </c>
    </row>
    <row r="370" spans="1:36"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t="str">
        <f>IF(OR(B370&lt;2020,AND(B370=2020,C370&lt;&gt;"March")),"Before COVID","After COVID")</f>
        <v>After COVID</v>
      </c>
      <c r="Q370">
        <v>177.9</v>
      </c>
      <c r="R370">
        <v>200.6</v>
      </c>
      <c r="S370">
        <v>186.9</v>
      </c>
      <c r="T370">
        <v>179.2</v>
      </c>
      <c r="U370">
        <v>185.7</v>
      </c>
      <c r="V370">
        <v>175.2</v>
      </c>
      <c r="W370">
        <v>181.7</v>
      </c>
      <c r="X370">
        <v>174.6</v>
      </c>
      <c r="Y370">
        <v>185</v>
      </c>
      <c r="Z370">
        <v>164.5</v>
      </c>
      <c r="AA370">
        <v>170.7</v>
      </c>
      <c r="AB370">
        <v>176.4</v>
      </c>
      <c r="AC370">
        <v>184</v>
      </c>
      <c r="AD370">
        <v>175</v>
      </c>
      <c r="AE370">
        <v>178.1</v>
      </c>
      <c r="AF370" s="9">
        <f>(Q370-Q334)/Q334*100</f>
        <v>4.1569086651053828</v>
      </c>
      <c r="AG370" s="9">
        <f>(X370-X334)/X334*100</f>
        <v>6.4634146341463374</v>
      </c>
      <c r="AH370" s="9">
        <f>(Y370-Y334)/Y334*100</f>
        <v>6.3218390804597711</v>
      </c>
      <c r="AI370" s="9">
        <f>(Z370-Z334)/Z334*100</f>
        <v>1.1685116851168549</v>
      </c>
      <c r="AJ370" s="9">
        <f>(AE370-AE334)/AE334*100</f>
        <v>4.7031158142269254</v>
      </c>
    </row>
    <row r="371" spans="1:36"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Q371">
        <v>176.8</v>
      </c>
      <c r="R371">
        <v>199.9</v>
      </c>
      <c r="S371">
        <v>191.2</v>
      </c>
      <c r="T371">
        <v>187.9</v>
      </c>
      <c r="U371">
        <v>190.8</v>
      </c>
      <c r="V371" t="s">
        <v>48</v>
      </c>
      <c r="W371">
        <v>182.5</v>
      </c>
      <c r="X371">
        <v>179.8</v>
      </c>
      <c r="Y371">
        <v>187.8</v>
      </c>
      <c r="Z371">
        <v>169.7</v>
      </c>
      <c r="AA371">
        <v>173.8</v>
      </c>
      <c r="AB371">
        <v>180.3</v>
      </c>
      <c r="AC371">
        <v>184.9</v>
      </c>
      <c r="AD371">
        <v>179.5</v>
      </c>
      <c r="AE371">
        <v>179.8</v>
      </c>
    </row>
    <row r="372" spans="1:36" ht="13.8" hidden="1" customHeight="1" x14ac:dyDescent="0.3">
      <c r="A372" t="s">
        <v>33</v>
      </c>
      <c r="B372">
        <v>2023</v>
      </c>
      <c r="C372" t="s">
        <v>38</v>
      </c>
      <c r="D372">
        <v>174.7</v>
      </c>
      <c r="E372">
        <v>219.4</v>
      </c>
      <c r="F372">
        <v>176.7</v>
      </c>
      <c r="G372">
        <v>179.4</v>
      </c>
      <c r="H372">
        <v>164.4</v>
      </c>
      <c r="I372">
        <v>175.8</v>
      </c>
      <c r="J372">
        <v>185</v>
      </c>
      <c r="K372">
        <v>176.9</v>
      </c>
      <c r="L372">
        <v>124.2</v>
      </c>
      <c r="M372">
        <v>211.9</v>
      </c>
      <c r="N372">
        <v>165.9</v>
      </c>
      <c r="O372">
        <v>197.7</v>
      </c>
      <c r="Q372">
        <v>183.1</v>
      </c>
      <c r="R372">
        <v>204.2</v>
      </c>
      <c r="S372">
        <v>181.3</v>
      </c>
      <c r="T372">
        <v>168.1</v>
      </c>
      <c r="U372">
        <v>179.3</v>
      </c>
      <c r="V372">
        <v>175.6</v>
      </c>
      <c r="W372">
        <v>183.4</v>
      </c>
      <c r="X372">
        <v>170.1</v>
      </c>
      <c r="Y372">
        <v>182.2</v>
      </c>
      <c r="Z372">
        <v>160.4</v>
      </c>
      <c r="AA372">
        <v>169.2</v>
      </c>
      <c r="AB372">
        <v>174.8</v>
      </c>
      <c r="AC372">
        <v>185.6</v>
      </c>
      <c r="AD372">
        <v>171.6</v>
      </c>
      <c r="AE372">
        <v>178.2</v>
      </c>
    </row>
    <row r="373" spans="1:36" ht="16.8" customHeight="1"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t="str">
        <f>IF(OR(B373&lt;2020,AND(B373=2020,C373&lt;&gt;"March")),"Before COVID","After COVID")</f>
        <v>After COVID</v>
      </c>
      <c r="Q373">
        <v>179.1</v>
      </c>
      <c r="R373">
        <v>201</v>
      </c>
      <c r="S373">
        <v>187.3</v>
      </c>
      <c r="T373">
        <v>179.7</v>
      </c>
      <c r="U373">
        <v>186.2</v>
      </c>
      <c r="V373">
        <v>175.6</v>
      </c>
      <c r="W373">
        <v>182.8</v>
      </c>
      <c r="X373">
        <v>175.2</v>
      </c>
      <c r="Y373">
        <v>185.7</v>
      </c>
      <c r="Z373">
        <v>164.8</v>
      </c>
      <c r="AA373">
        <v>171.2</v>
      </c>
      <c r="AB373">
        <v>177.1</v>
      </c>
      <c r="AC373">
        <v>185.2</v>
      </c>
      <c r="AD373">
        <v>175.7</v>
      </c>
      <c r="AE373">
        <v>179.1</v>
      </c>
      <c r="AF373" s="9">
        <f>(Q373-Q337)/Q337*100</f>
        <v>3.3467974610501918</v>
      </c>
      <c r="AG373" s="9">
        <f>(X373-X337)/X337*100</f>
        <v>6.0532687651331729</v>
      </c>
      <c r="AH373" s="9">
        <f>(Y373-Y337)/Y337*100</f>
        <v>6.2356979405034192</v>
      </c>
      <c r="AI373" s="9">
        <f>(Z373-Z337)/Z337*100</f>
        <v>1.1042944785276143</v>
      </c>
      <c r="AJ373" s="9">
        <f>(AE373-AE337)/AE337*100</f>
        <v>4.3098427489807838</v>
      </c>
    </row>
    <row r="374" spans="1:36" ht="23.4" customHeight="1" x14ac:dyDescent="0.3"/>
    <row r="376" spans="1:36" x14ac:dyDescent="0.3">
      <c r="A376" t="s">
        <v>82</v>
      </c>
      <c r="B376" t="s">
        <v>123</v>
      </c>
      <c r="C376" t="s">
        <v>124</v>
      </c>
      <c r="Q376" s="6" t="s">
        <v>87</v>
      </c>
      <c r="R376" t="s">
        <v>132</v>
      </c>
      <c r="S376" t="s">
        <v>133</v>
      </c>
    </row>
    <row r="377" spans="1:36" x14ac:dyDescent="0.3">
      <c r="A377" t="s">
        <v>117</v>
      </c>
      <c r="B377" s="9">
        <f>AVERAGEIF(P:P,"Before COVID", AF:AF)</f>
        <v>4.3991930524369707</v>
      </c>
      <c r="C377" s="9">
        <f>AVERAGE(AF259:AF373)</f>
        <v>6.0270616577123688</v>
      </c>
      <c r="P377" s="9"/>
      <c r="Q377" s="7" t="s">
        <v>117</v>
      </c>
      <c r="R377" s="9">
        <v>4.3991930524369707</v>
      </c>
      <c r="S377" s="9">
        <v>6.0270616577123688</v>
      </c>
    </row>
    <row r="378" spans="1:36" x14ac:dyDescent="0.3">
      <c r="A378" t="s">
        <v>86</v>
      </c>
      <c r="B378" s="9">
        <f>AVERAGEIF(P:P,"Before COVID",AG:AG)</f>
        <v>4.1084658683936022</v>
      </c>
      <c r="C378" s="9">
        <f>AVERAGE(AG259:AG373)</f>
        <v>5.5969563103627511</v>
      </c>
      <c r="Q378" s="7" t="s">
        <v>122</v>
      </c>
      <c r="R378" s="9">
        <v>4.61145094259453</v>
      </c>
      <c r="S378" s="9">
        <v>6.0485007341025367</v>
      </c>
    </row>
    <row r="379" spans="1:36" x14ac:dyDescent="0.3">
      <c r="A379" t="s">
        <v>23</v>
      </c>
      <c r="B379" s="9">
        <f>AVERAGEIF(P:P,"Before COVID", AH:AH)</f>
        <v>6.2729034875792076</v>
      </c>
      <c r="C379" s="9">
        <f>AVERAGEIF(P:P,"After COVID",AH:AH)</f>
        <v>6.6432449214682388</v>
      </c>
      <c r="Q379" s="7" t="s">
        <v>23</v>
      </c>
      <c r="R379" s="9">
        <v>6.2729034875792076</v>
      </c>
      <c r="S379" s="9">
        <v>6.6432449214682388</v>
      </c>
    </row>
    <row r="380" spans="1:36" x14ac:dyDescent="0.3">
      <c r="A380" t="s">
        <v>125</v>
      </c>
      <c r="B380" s="9">
        <f>AVERAGE(AI184:AI256)</f>
        <v>3.7349607168137395</v>
      </c>
      <c r="C380" s="9">
        <f>AVERAGEIF(P:P,"After COVID",AI:AI)</f>
        <v>7.694716344742349</v>
      </c>
      <c r="Q380" s="7" t="s">
        <v>86</v>
      </c>
      <c r="R380" s="9">
        <v>4.1084658683936022</v>
      </c>
      <c r="S380" s="9">
        <v>5.5969563103627511</v>
      </c>
    </row>
    <row r="381" spans="1:36" x14ac:dyDescent="0.3">
      <c r="A381" t="s">
        <v>122</v>
      </c>
      <c r="B381" s="9">
        <f>AVERAGEIF(P:P,"Before COVID", AJ:AJ)</f>
        <v>4.61145094259453</v>
      </c>
      <c r="C381" s="9">
        <f>AVERAGEIF(P:P,"After COVID", AJ:AJ)</f>
        <v>6.0485007341025367</v>
      </c>
      <c r="Q381" s="7" t="s">
        <v>125</v>
      </c>
      <c r="R381" s="9">
        <v>3.7349607168137395</v>
      </c>
      <c r="S381" s="9">
        <v>7.694716344742349</v>
      </c>
    </row>
    <row r="382" spans="1:36" x14ac:dyDescent="0.3">
      <c r="Q382" s="7" t="s">
        <v>88</v>
      </c>
      <c r="R382" s="9">
        <v>23.126974067818047</v>
      </c>
      <c r="S382" s="9">
        <v>32.010479968388239</v>
      </c>
    </row>
  </sheetData>
  <autoFilter ref="A1:AE373" xr:uid="{0513024D-7B64-4113-A099-B1AFBBF78844}">
    <filterColumn colId="0">
      <filters>
        <filter val="Rural+Urban"/>
      </filters>
    </filterColumn>
    <filterColumn colId="1">
      <filters>
        <filter val="2017"/>
        <filter val="2018"/>
        <filter val="2019"/>
        <filter val="2020"/>
        <filter val="2021"/>
        <filter val="2022"/>
        <filter val="2023"/>
      </filters>
    </filterColumn>
  </autoFilter>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BADF-DB3D-4054-AA86-A32BA56FCD44}">
  <dimension ref="A3:F42"/>
  <sheetViews>
    <sheetView topLeftCell="B3" workbookViewId="0">
      <selection activeCell="M5" sqref="M5"/>
    </sheetView>
  </sheetViews>
  <sheetFormatPr defaultRowHeight="14.4" x14ac:dyDescent="0.3"/>
  <cols>
    <col min="1" max="1" width="13.77734375" bestFit="1" customWidth="1"/>
    <col min="2" max="2" width="15.44140625" bestFit="1" customWidth="1"/>
    <col min="3" max="4" width="10" bestFit="1" customWidth="1"/>
    <col min="5" max="5" width="12.33203125" bestFit="1" customWidth="1"/>
    <col min="6" max="6" width="9.109375" bestFit="1" customWidth="1"/>
  </cols>
  <sheetData>
    <row r="3" spans="1:6" x14ac:dyDescent="0.3">
      <c r="A3" s="6" t="s">
        <v>87</v>
      </c>
      <c r="B3" t="s">
        <v>117</v>
      </c>
      <c r="C3" t="s">
        <v>86</v>
      </c>
      <c r="D3" t="s">
        <v>118</v>
      </c>
      <c r="E3" t="s">
        <v>119</v>
      </c>
      <c r="F3" t="s">
        <v>120</v>
      </c>
    </row>
    <row r="4" spans="1:6" x14ac:dyDescent="0.3">
      <c r="A4" s="7">
        <v>2019</v>
      </c>
      <c r="B4" s="10">
        <v>42.0563577408996</v>
      </c>
      <c r="C4" s="10">
        <v>49.7001643931847</v>
      </c>
      <c r="D4" s="10">
        <v>88.037045231166047</v>
      </c>
      <c r="E4" s="10">
        <v>43.702515909385184</v>
      </c>
      <c r="F4" s="10">
        <v>22.555476416620436</v>
      </c>
    </row>
    <row r="5" spans="1:6" x14ac:dyDescent="0.3">
      <c r="A5" s="12" t="s">
        <v>31</v>
      </c>
      <c r="B5" s="10">
        <v>-1.2931034482758499</v>
      </c>
      <c r="C5" s="10">
        <v>6.4492216456634459</v>
      </c>
      <c r="D5" s="10">
        <v>8.8522130532633021</v>
      </c>
      <c r="E5" s="10">
        <v>1.972242512783045</v>
      </c>
      <c r="F5" s="10">
        <v>3.3528918692372169</v>
      </c>
    </row>
    <row r="6" spans="1:6" x14ac:dyDescent="0.3">
      <c r="A6" s="12" t="s">
        <v>35</v>
      </c>
      <c r="B6" s="10">
        <v>-7.2674418604647031E-2</v>
      </c>
      <c r="C6" s="10">
        <v>6.2869822485207099</v>
      </c>
      <c r="D6" s="10">
        <v>8.8191330343796572</v>
      </c>
      <c r="E6" s="10">
        <v>2.5659824046920821</v>
      </c>
      <c r="F6" s="10">
        <v>3.0782029950083216</v>
      </c>
    </row>
    <row r="7" spans="1:6" x14ac:dyDescent="0.3">
      <c r="A7" s="12" t="s">
        <v>36</v>
      </c>
      <c r="B7" s="10">
        <v>0.6559766763848438</v>
      </c>
      <c r="C7" s="10">
        <v>6.0471976401180072</v>
      </c>
      <c r="D7" s="10">
        <v>8.8607594936708676</v>
      </c>
      <c r="E7" s="10">
        <v>2.8571428571428612</v>
      </c>
      <c r="F7" s="10">
        <v>2.9752066115702429</v>
      </c>
    </row>
    <row r="8" spans="1:6" x14ac:dyDescent="0.3">
      <c r="A8" s="12" t="s">
        <v>38</v>
      </c>
      <c r="B8" s="10">
        <v>2.4727272727272767</v>
      </c>
      <c r="C8" s="10">
        <v>5.1976573938506547</v>
      </c>
      <c r="D8" s="10">
        <v>8.6538461538461675</v>
      </c>
      <c r="E8" s="10">
        <v>3.5740335521517181</v>
      </c>
      <c r="F8" s="10">
        <v>2.4610336341263328</v>
      </c>
    </row>
    <row r="9" spans="1:6" x14ac:dyDescent="0.3">
      <c r="A9" s="12" t="s">
        <v>39</v>
      </c>
      <c r="B9" s="10">
        <v>3.3309196234612557</v>
      </c>
      <c r="C9" s="10">
        <v>4.6579330422125222</v>
      </c>
      <c r="D9" s="10">
        <v>8.3823529411764746</v>
      </c>
      <c r="E9" s="10">
        <v>3.7010159651669037</v>
      </c>
      <c r="F9" s="10">
        <v>1.3832384052074764</v>
      </c>
    </row>
    <row r="10" spans="1:6" x14ac:dyDescent="0.3">
      <c r="A10" s="12" t="s">
        <v>40</v>
      </c>
      <c r="B10" s="10">
        <v>3.8020086083213651</v>
      </c>
      <c r="C10" s="10">
        <v>4.5685279187817134</v>
      </c>
      <c r="D10" s="10">
        <v>8.590308370044065</v>
      </c>
      <c r="E10" s="10">
        <v>4.115523465703963</v>
      </c>
      <c r="F10" s="10">
        <v>1.5359741309619979</v>
      </c>
    </row>
    <row r="11" spans="1:6" x14ac:dyDescent="0.3">
      <c r="A11" s="12" t="s">
        <v>41</v>
      </c>
      <c r="B11" s="10">
        <v>3.182461103253182</v>
      </c>
      <c r="C11" s="10">
        <v>4.2568542568542611</v>
      </c>
      <c r="D11" s="10">
        <v>8.3941605839416056</v>
      </c>
      <c r="E11" s="10">
        <v>3.7195994277539257</v>
      </c>
      <c r="F11" s="10">
        <v>1.7799352750809085</v>
      </c>
    </row>
    <row r="12" spans="1:6" x14ac:dyDescent="0.3">
      <c r="A12" s="12" t="s">
        <v>42</v>
      </c>
      <c r="B12" s="10">
        <v>3.740296400846868</v>
      </c>
      <c r="C12" s="10">
        <v>3.7302725968436068</v>
      </c>
      <c r="D12" s="10">
        <v>8.2062454611474305</v>
      </c>
      <c r="E12" s="10">
        <v>3.8461538461538498</v>
      </c>
      <c r="F12" s="10">
        <v>1.4481094127111804</v>
      </c>
    </row>
    <row r="13" spans="1:6" x14ac:dyDescent="0.3">
      <c r="A13" s="12" t="s">
        <v>43</v>
      </c>
      <c r="B13" s="10">
        <v>6.5527065527065442</v>
      </c>
      <c r="C13" s="10">
        <v>3.7938439513242743</v>
      </c>
      <c r="D13" s="10">
        <v>7.9479768786127174</v>
      </c>
      <c r="E13" s="10">
        <v>4.9928673323823114</v>
      </c>
      <c r="F13" s="10">
        <v>0.23809523809523581</v>
      </c>
    </row>
    <row r="14" spans="1:6" x14ac:dyDescent="0.3">
      <c r="A14" s="12" t="s">
        <v>45</v>
      </c>
      <c r="B14" s="10">
        <v>8.7329992841803996</v>
      </c>
      <c r="C14" s="10">
        <v>2.1800281293952342</v>
      </c>
      <c r="D14" s="10">
        <v>5.489092188599586</v>
      </c>
      <c r="E14" s="10">
        <v>5.5397727272727151</v>
      </c>
      <c r="F14" s="10">
        <v>0.87649402390437803</v>
      </c>
    </row>
    <row r="15" spans="1:6" x14ac:dyDescent="0.3">
      <c r="A15" s="12" t="s">
        <v>46</v>
      </c>
      <c r="B15" s="10">
        <v>10.952040085898362</v>
      </c>
      <c r="C15" s="10">
        <v>2.5316455696202693</v>
      </c>
      <c r="D15" s="10">
        <v>5.8409570724841746</v>
      </c>
      <c r="E15" s="10">
        <v>6.8181818181818139</v>
      </c>
      <c r="F15" s="10">
        <v>3.4262948207171409</v>
      </c>
    </row>
    <row r="16" spans="1:6" x14ac:dyDescent="0.3">
      <c r="A16" s="7">
        <v>2020</v>
      </c>
      <c r="B16" s="10">
        <v>90.987449259731378</v>
      </c>
      <c r="C16" s="10">
        <v>22.702565838227002</v>
      </c>
      <c r="D16" s="10">
        <v>49.267562073825907</v>
      </c>
      <c r="E16" s="10">
        <v>62.470275623740974</v>
      </c>
      <c r="F16" s="10">
        <v>83.678195619857831</v>
      </c>
    </row>
    <row r="17" spans="1:6" x14ac:dyDescent="0.3">
      <c r="A17" s="12" t="s">
        <v>31</v>
      </c>
      <c r="B17" s="10">
        <v>11.070911722141833</v>
      </c>
      <c r="C17" s="10">
        <v>2.0949720670391065</v>
      </c>
      <c r="D17" s="10">
        <v>4.34782608695651</v>
      </c>
      <c r="E17" s="10">
        <v>7.2091363311920027</v>
      </c>
      <c r="F17" s="10">
        <v>5.9061488673139255</v>
      </c>
    </row>
    <row r="18" spans="1:6" x14ac:dyDescent="0.3">
      <c r="A18" s="12" t="s">
        <v>35</v>
      </c>
      <c r="B18" s="10">
        <v>9.5342066957787441</v>
      </c>
      <c r="C18" s="10">
        <v>1.9498607242339914</v>
      </c>
      <c r="D18" s="10">
        <v>4.5485871812543035</v>
      </c>
      <c r="E18" s="10">
        <v>6.8051575931232096</v>
      </c>
      <c r="F18" s="10">
        <v>5.677210056772112</v>
      </c>
    </row>
    <row r="19" spans="1:6" x14ac:dyDescent="0.3">
      <c r="A19" s="12" t="s">
        <v>36</v>
      </c>
      <c r="B19" s="10">
        <v>8.2909090909090946</v>
      </c>
      <c r="C19" s="10">
        <v>1.8789144050104505</v>
      </c>
      <c r="D19" s="10">
        <v>4.6016483516483637</v>
      </c>
      <c r="E19" s="10">
        <v>6.2187276626161463</v>
      </c>
      <c r="F19" s="10">
        <v>4.8426150121065374</v>
      </c>
    </row>
    <row r="20" spans="1:6" x14ac:dyDescent="0.3">
      <c r="A20" s="12" t="s">
        <v>37</v>
      </c>
      <c r="B20" s="10">
        <v>9.6307023895727824</v>
      </c>
      <c r="C20" s="10"/>
      <c r="D20" s="10">
        <v>3.0779753761969908</v>
      </c>
      <c r="E20" s="10"/>
      <c r="F20" s="10"/>
    </row>
    <row r="21" spans="1:6" x14ac:dyDescent="0.3">
      <c r="A21" s="12" t="s">
        <v>38</v>
      </c>
      <c r="B21" s="10"/>
      <c r="C21" s="10"/>
      <c r="D21" s="10"/>
      <c r="E21" s="10"/>
      <c r="F21" s="10"/>
    </row>
    <row r="22" spans="1:6" x14ac:dyDescent="0.3">
      <c r="A22" s="12" t="s">
        <v>39</v>
      </c>
      <c r="B22" s="10">
        <v>7.9187105816398127</v>
      </c>
      <c r="C22" s="10">
        <v>1.8080667593880348</v>
      </c>
      <c r="D22" s="10">
        <v>4.7489823609226596</v>
      </c>
      <c r="E22" s="10">
        <v>6.2281315605318444</v>
      </c>
      <c r="F22" s="10">
        <v>8.3467094703049796</v>
      </c>
    </row>
    <row r="23" spans="1:6" x14ac:dyDescent="0.3">
      <c r="A23" s="12" t="s">
        <v>40</v>
      </c>
      <c r="B23" s="10">
        <v>6.4270905321354617</v>
      </c>
      <c r="C23" s="10">
        <v>1.5256588072122172</v>
      </c>
      <c r="D23" s="10">
        <v>4.3948613928329952</v>
      </c>
      <c r="E23" s="10">
        <v>5.27045769764218</v>
      </c>
      <c r="F23" s="10">
        <v>7.4840764331210243</v>
      </c>
    </row>
    <row r="24" spans="1:6" x14ac:dyDescent="0.3">
      <c r="A24" s="12" t="s">
        <v>41</v>
      </c>
      <c r="B24" s="10">
        <v>7.6079506511309072</v>
      </c>
      <c r="C24" s="10">
        <v>2.698961937716267</v>
      </c>
      <c r="D24" s="10">
        <v>4.3771043771043772</v>
      </c>
      <c r="E24" s="10">
        <v>6.1379310344827624</v>
      </c>
      <c r="F24" s="10">
        <v>10.095389507154215</v>
      </c>
    </row>
    <row r="25" spans="1:6" x14ac:dyDescent="0.3">
      <c r="A25" s="12" t="s">
        <v>42</v>
      </c>
      <c r="B25" s="10">
        <v>7.4829931972789119</v>
      </c>
      <c r="C25" s="10">
        <v>2.83540802213001</v>
      </c>
      <c r="D25" s="10">
        <v>4.4295302013422777</v>
      </c>
      <c r="E25" s="10">
        <v>6.1042524005486802</v>
      </c>
      <c r="F25" s="10">
        <v>10.705789056304521</v>
      </c>
    </row>
    <row r="26" spans="1:6" x14ac:dyDescent="0.3">
      <c r="A26" s="12" t="s">
        <v>43</v>
      </c>
      <c r="B26" s="10">
        <v>7.8877005347593663</v>
      </c>
      <c r="C26" s="10">
        <v>2.5517241379310267</v>
      </c>
      <c r="D26" s="10">
        <v>4.6184738955823326</v>
      </c>
      <c r="E26" s="10">
        <v>6.2500000000000124</v>
      </c>
      <c r="F26" s="10">
        <v>11.322248614410132</v>
      </c>
    </row>
    <row r="27" spans="1:6" x14ac:dyDescent="0.3">
      <c r="A27" s="12" t="s">
        <v>45</v>
      </c>
      <c r="B27" s="10">
        <v>8.4265964450296131</v>
      </c>
      <c r="C27" s="10">
        <v>2.6841018582243477</v>
      </c>
      <c r="D27" s="10">
        <v>4.8699132755169998</v>
      </c>
      <c r="E27" s="10">
        <v>6.594885598923292</v>
      </c>
      <c r="F27" s="10">
        <v>10.900473933649298</v>
      </c>
    </row>
    <row r="28" spans="1:6" x14ac:dyDescent="0.3">
      <c r="A28" s="12" t="s">
        <v>46</v>
      </c>
      <c r="B28" s="10">
        <v>6.7096774193548425</v>
      </c>
      <c r="C28" s="10">
        <v>2.6748971193415483</v>
      </c>
      <c r="D28" s="10">
        <v>5.2526595744680886</v>
      </c>
      <c r="E28" s="10">
        <v>5.6515957446808507</v>
      </c>
      <c r="F28" s="10">
        <v>8.3975346687210912</v>
      </c>
    </row>
    <row r="29" spans="1:6" x14ac:dyDescent="0.3">
      <c r="A29" s="7">
        <v>2021</v>
      </c>
      <c r="B29" s="10">
        <v>47.702236672542313</v>
      </c>
      <c r="C29" s="10">
        <v>53.466805384769195</v>
      </c>
      <c r="D29" s="10">
        <v>74.635025923976244</v>
      </c>
      <c r="E29" s="10">
        <v>55.77215229399981</v>
      </c>
      <c r="F29" s="10">
        <v>110.5105161077885</v>
      </c>
    </row>
    <row r="30" spans="1:6" x14ac:dyDescent="0.3">
      <c r="A30" s="12" t="s">
        <v>31</v>
      </c>
      <c r="B30" s="10">
        <v>4.8859934853420199</v>
      </c>
      <c r="C30" s="10">
        <v>2.5991792065663555</v>
      </c>
      <c r="D30" s="10">
        <v>5.3571428571428727</v>
      </c>
      <c r="E30" s="10">
        <v>4.7270306258322385</v>
      </c>
      <c r="F30" s="10">
        <v>8.4033613445378137</v>
      </c>
    </row>
    <row r="31" spans="1:6" x14ac:dyDescent="0.3">
      <c r="A31" s="12" t="s">
        <v>35</v>
      </c>
      <c r="B31" s="10">
        <v>4.2524916943521633</v>
      </c>
      <c r="C31" s="10">
        <v>3.0737704918032787</v>
      </c>
      <c r="D31" s="10">
        <v>6.3282794990112219</v>
      </c>
      <c r="E31" s="10">
        <v>5.0301810865191152</v>
      </c>
      <c r="F31" s="10">
        <v>11.358403683806587</v>
      </c>
    </row>
    <row r="32" spans="1:6" x14ac:dyDescent="0.3">
      <c r="A32" s="12" t="s">
        <v>36</v>
      </c>
      <c r="B32" s="10">
        <v>5.2384150436534469</v>
      </c>
      <c r="C32" s="10">
        <v>3.2786885245901525</v>
      </c>
      <c r="D32" s="10">
        <v>6.1720288903479821</v>
      </c>
      <c r="E32" s="10">
        <v>5.5181695827725559</v>
      </c>
      <c r="F32" s="10">
        <v>12.548113933795213</v>
      </c>
    </row>
    <row r="33" spans="1:6" x14ac:dyDescent="0.3">
      <c r="A33" s="12" t="s">
        <v>37</v>
      </c>
      <c r="B33" s="10">
        <v>4.3593130779392304</v>
      </c>
      <c r="C33" s="10"/>
      <c r="D33" s="10"/>
      <c r="E33" s="10"/>
      <c r="F33" s="10"/>
    </row>
    <row r="34" spans="1:6" x14ac:dyDescent="0.3">
      <c r="A34" s="12" t="s">
        <v>38</v>
      </c>
      <c r="B34" s="10"/>
      <c r="C34" s="10"/>
      <c r="D34" s="10"/>
      <c r="E34" s="10"/>
      <c r="F34" s="10"/>
    </row>
    <row r="35" spans="1:6" x14ac:dyDescent="0.3">
      <c r="A35" s="12" t="s">
        <v>39</v>
      </c>
      <c r="B35" s="10">
        <v>5.5844155844155807</v>
      </c>
      <c r="C35" s="10">
        <v>5.7377049180327901</v>
      </c>
      <c r="D35" s="10">
        <v>7.7072538860103661</v>
      </c>
      <c r="E35" s="10">
        <v>6.2582345191040831</v>
      </c>
      <c r="F35" s="10">
        <v>11.629629629629621</v>
      </c>
    </row>
    <row r="36" spans="1:6" x14ac:dyDescent="0.3">
      <c r="A36" s="12" t="s">
        <v>40</v>
      </c>
      <c r="B36" s="10">
        <v>6.4935064935064926</v>
      </c>
      <c r="C36" s="10">
        <v>6.4207650273224077</v>
      </c>
      <c r="D36" s="10">
        <v>8.1606217616580263</v>
      </c>
      <c r="E36" s="10">
        <v>7.0487483530961708</v>
      </c>
      <c r="F36" s="10">
        <v>13.407407407407405</v>
      </c>
    </row>
    <row r="37" spans="1:6" x14ac:dyDescent="0.3">
      <c r="A37" s="12" t="s">
        <v>41</v>
      </c>
      <c r="B37" s="10">
        <v>4.4585987261146496</v>
      </c>
      <c r="C37" s="10">
        <v>6.1320754716981094</v>
      </c>
      <c r="D37" s="10">
        <v>8.6451612903225836</v>
      </c>
      <c r="E37" s="10">
        <v>6.0428849902534001</v>
      </c>
      <c r="F37" s="10">
        <v>11.191335740072201</v>
      </c>
    </row>
    <row r="38" spans="1:6" x14ac:dyDescent="0.3">
      <c r="A38" s="12" t="s">
        <v>42</v>
      </c>
      <c r="B38" s="10">
        <v>3.79746835443038</v>
      </c>
      <c r="C38" s="10">
        <v>5.9179556153328932</v>
      </c>
      <c r="D38" s="10">
        <v>8.2262210796915252</v>
      </c>
      <c r="E38" s="10">
        <v>5.4945054945054954</v>
      </c>
      <c r="F38" s="10">
        <v>10.315186246418342</v>
      </c>
    </row>
    <row r="39" spans="1:6" x14ac:dyDescent="0.3">
      <c r="A39" s="12" t="s">
        <v>43</v>
      </c>
      <c r="B39" s="10">
        <v>3.903345724907052</v>
      </c>
      <c r="C39" s="10">
        <v>6.5232010759919428</v>
      </c>
      <c r="D39" s="10">
        <v>8.1893793985924397</v>
      </c>
      <c r="E39" s="10">
        <v>5.8184143222506357</v>
      </c>
      <c r="F39" s="10">
        <v>10.739687055476525</v>
      </c>
    </row>
    <row r="40" spans="1:6" x14ac:dyDescent="0.3">
      <c r="A40" s="12" t="s">
        <v>45</v>
      </c>
      <c r="B40" s="10">
        <v>3.035822707953856</v>
      </c>
      <c r="C40" s="10">
        <v>6.7694369973190502</v>
      </c>
      <c r="D40" s="10">
        <v>8.0788804071246929</v>
      </c>
      <c r="E40" s="10">
        <v>5.239898989898979</v>
      </c>
      <c r="F40" s="10">
        <v>10.256410256410261</v>
      </c>
    </row>
    <row r="41" spans="1:6" x14ac:dyDescent="0.3">
      <c r="A41" s="12" t="s">
        <v>46</v>
      </c>
      <c r="B41" s="10">
        <v>1.6928657799274383</v>
      </c>
      <c r="C41" s="10">
        <v>7.0140280561122248</v>
      </c>
      <c r="D41" s="10">
        <v>7.7700568540745305</v>
      </c>
      <c r="E41" s="10">
        <v>4.5940843297671385</v>
      </c>
      <c r="F41" s="10">
        <v>10.660980810234543</v>
      </c>
    </row>
    <row r="42" spans="1:6" x14ac:dyDescent="0.3">
      <c r="A42" s="7" t="s">
        <v>88</v>
      </c>
      <c r="B42" s="10">
        <v>180.74604367317326</v>
      </c>
      <c r="C42" s="10">
        <v>125.86953561618093</v>
      </c>
      <c r="D42" s="10">
        <v>211.93963322896818</v>
      </c>
      <c r="E42" s="10">
        <v>161.944943827126</v>
      </c>
      <c r="F42" s="10">
        <v>216.74418814426676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172F-93D7-4682-94BE-EEDE200FF4EA}">
  <sheetPr filterMode="1"/>
  <dimension ref="A1:AT373"/>
  <sheetViews>
    <sheetView zoomScaleNormal="100" workbookViewId="0">
      <pane xSplit="1" topLeftCell="AF1" activePane="topRight" state="frozen"/>
      <selection pane="topRight" activeCell="AV304" sqref="AV304"/>
    </sheetView>
  </sheetViews>
  <sheetFormatPr defaultRowHeight="14.4" x14ac:dyDescent="0.3"/>
  <cols>
    <col min="3" max="3" width="8.88671875" style="19"/>
    <col min="4" max="15" width="0" hidden="1" customWidth="1"/>
    <col min="16" max="16" width="15.77734375" style="19" customWidth="1"/>
    <col min="18" max="20" width="0" hidden="1" customWidth="1"/>
    <col min="30" max="30" width="0" hidden="1" customWidth="1"/>
    <col min="32" max="32" width="10.88671875" bestFit="1" customWidth="1"/>
    <col min="45" max="45" width="15" bestFit="1" customWidth="1"/>
    <col min="46" max="46" width="12.6640625" bestFit="1" customWidth="1"/>
  </cols>
  <sheetData>
    <row r="1" spans="1:46" x14ac:dyDescent="0.3">
      <c r="A1" t="s">
        <v>0</v>
      </c>
      <c r="B1" t="s">
        <v>1</v>
      </c>
      <c r="C1" s="19" t="s">
        <v>2</v>
      </c>
      <c r="D1" t="s">
        <v>3</v>
      </c>
      <c r="E1" t="s">
        <v>4</v>
      </c>
      <c r="F1" t="s">
        <v>5</v>
      </c>
      <c r="G1" t="s">
        <v>6</v>
      </c>
      <c r="H1" t="s">
        <v>7</v>
      </c>
      <c r="I1" t="s">
        <v>8</v>
      </c>
      <c r="J1" t="s">
        <v>9</v>
      </c>
      <c r="K1" t="s">
        <v>10</v>
      </c>
      <c r="L1" t="s">
        <v>11</v>
      </c>
      <c r="M1" t="s">
        <v>12</v>
      </c>
      <c r="N1" t="s">
        <v>13</v>
      </c>
      <c r="O1" t="s">
        <v>14</v>
      </c>
      <c r="P1" s="19" t="s">
        <v>135</v>
      </c>
      <c r="Q1" t="s">
        <v>15</v>
      </c>
      <c r="R1" t="s">
        <v>16</v>
      </c>
      <c r="S1" t="s">
        <v>17</v>
      </c>
      <c r="T1" t="s">
        <v>18</v>
      </c>
      <c r="U1" t="s">
        <v>19</v>
      </c>
      <c r="V1" t="s">
        <v>20</v>
      </c>
      <c r="W1" t="s">
        <v>21</v>
      </c>
      <c r="X1" t="s">
        <v>22</v>
      </c>
      <c r="Y1" t="s">
        <v>23</v>
      </c>
      <c r="Z1" t="s">
        <v>24</v>
      </c>
      <c r="AA1" t="s">
        <v>25</v>
      </c>
      <c r="AB1" t="s">
        <v>26</v>
      </c>
      <c r="AC1" t="s">
        <v>27</v>
      </c>
      <c r="AD1" t="s">
        <v>28</v>
      </c>
      <c r="AE1" t="s">
        <v>29</v>
      </c>
      <c r="AF1" t="s">
        <v>134</v>
      </c>
      <c r="AG1" s="20" t="s">
        <v>136</v>
      </c>
      <c r="AH1" s="20" t="s">
        <v>137</v>
      </c>
      <c r="AI1" s="20" t="s">
        <v>138</v>
      </c>
      <c r="AJ1" s="20" t="s">
        <v>139</v>
      </c>
      <c r="AK1" s="20" t="s">
        <v>140</v>
      </c>
      <c r="AL1" s="20" t="s">
        <v>141</v>
      </c>
      <c r="AM1" s="20" t="s">
        <v>142</v>
      </c>
      <c r="AN1" s="20" t="s">
        <v>143</v>
      </c>
      <c r="AO1" s="20" t="s">
        <v>144</v>
      </c>
      <c r="AP1" s="20" t="s">
        <v>145</v>
      </c>
      <c r="AQ1" s="20" t="s">
        <v>146</v>
      </c>
      <c r="AS1" s="20" t="s">
        <v>82</v>
      </c>
      <c r="AT1" s="20" t="s">
        <v>149</v>
      </c>
    </row>
    <row r="2" spans="1:46" hidden="1" x14ac:dyDescent="0.3">
      <c r="A2" t="s">
        <v>30</v>
      </c>
      <c r="B2">
        <v>2013</v>
      </c>
      <c r="C2" t="s">
        <v>31</v>
      </c>
      <c r="D2">
        <v>107.5</v>
      </c>
      <c r="E2">
        <v>106.3</v>
      </c>
      <c r="F2">
        <v>108.1</v>
      </c>
      <c r="G2">
        <v>104.9</v>
      </c>
      <c r="H2">
        <v>106.1</v>
      </c>
      <c r="I2">
        <v>103.9</v>
      </c>
      <c r="J2">
        <v>101.9</v>
      </c>
      <c r="K2">
        <v>106.1</v>
      </c>
      <c r="L2">
        <v>106.8</v>
      </c>
      <c r="M2">
        <v>103.1</v>
      </c>
      <c r="N2">
        <v>104.8</v>
      </c>
      <c r="O2">
        <v>106.7</v>
      </c>
      <c r="P2"/>
      <c r="Q2">
        <v>105.5</v>
      </c>
      <c r="R2">
        <v>105.1</v>
      </c>
      <c r="S2">
        <v>106.5</v>
      </c>
      <c r="T2">
        <v>105.8</v>
      </c>
      <c r="U2">
        <v>106.4</v>
      </c>
      <c r="V2" t="s">
        <v>32</v>
      </c>
      <c r="W2">
        <v>105.5</v>
      </c>
      <c r="X2">
        <v>104.8</v>
      </c>
      <c r="Y2">
        <v>104</v>
      </c>
      <c r="Z2">
        <v>103.3</v>
      </c>
      <c r="AA2">
        <v>103.4</v>
      </c>
      <c r="AB2">
        <v>103.8</v>
      </c>
      <c r="AC2">
        <v>104.7</v>
      </c>
      <c r="AD2">
        <v>104</v>
      </c>
      <c r="AE2">
        <v>105.1</v>
      </c>
      <c r="AF2">
        <v>19.899999999999999</v>
      </c>
    </row>
    <row r="3" spans="1:46" hidden="1" x14ac:dyDescent="0.3">
      <c r="A3" t="s">
        <v>33</v>
      </c>
      <c r="B3">
        <v>2013</v>
      </c>
      <c r="C3" t="s">
        <v>31</v>
      </c>
      <c r="D3">
        <v>110.5</v>
      </c>
      <c r="E3">
        <v>109.1</v>
      </c>
      <c r="F3">
        <v>113</v>
      </c>
      <c r="G3">
        <v>103.6</v>
      </c>
      <c r="H3">
        <v>103.4</v>
      </c>
      <c r="I3">
        <v>102.3</v>
      </c>
      <c r="J3">
        <v>102.9</v>
      </c>
      <c r="K3">
        <v>105.8</v>
      </c>
      <c r="L3">
        <v>105.1</v>
      </c>
      <c r="M3">
        <v>101.8</v>
      </c>
      <c r="N3">
        <v>105.1</v>
      </c>
      <c r="O3">
        <v>107.9</v>
      </c>
      <c r="P3"/>
      <c r="Q3">
        <v>105.9</v>
      </c>
      <c r="R3">
        <v>105.2</v>
      </c>
      <c r="S3">
        <v>105.9</v>
      </c>
      <c r="T3">
        <v>105</v>
      </c>
      <c r="U3">
        <v>105.8</v>
      </c>
      <c r="V3">
        <v>100.3</v>
      </c>
      <c r="W3">
        <v>105.4</v>
      </c>
      <c r="X3">
        <v>104.8</v>
      </c>
      <c r="Y3">
        <v>104.1</v>
      </c>
      <c r="Z3">
        <v>103.2</v>
      </c>
      <c r="AA3">
        <v>102.9</v>
      </c>
      <c r="AB3">
        <v>103.5</v>
      </c>
      <c r="AC3">
        <v>104.3</v>
      </c>
      <c r="AD3">
        <v>103.7</v>
      </c>
      <c r="AE3">
        <v>104</v>
      </c>
      <c r="AF3">
        <v>63.4</v>
      </c>
    </row>
    <row r="4" spans="1:46" hidden="1" x14ac:dyDescent="0.3">
      <c r="A4" t="s">
        <v>34</v>
      </c>
      <c r="B4">
        <v>2013</v>
      </c>
      <c r="C4" t="s">
        <v>31</v>
      </c>
      <c r="D4">
        <v>108.4</v>
      </c>
      <c r="E4">
        <v>107.3</v>
      </c>
      <c r="F4">
        <v>110</v>
      </c>
      <c r="G4">
        <v>104.4</v>
      </c>
      <c r="H4">
        <v>105.1</v>
      </c>
      <c r="I4">
        <v>103.2</v>
      </c>
      <c r="J4">
        <v>102.2</v>
      </c>
      <c r="K4">
        <v>106</v>
      </c>
      <c r="L4">
        <v>106.2</v>
      </c>
      <c r="M4">
        <v>102.7</v>
      </c>
      <c r="N4">
        <v>104.9</v>
      </c>
      <c r="O4">
        <v>107.3</v>
      </c>
      <c r="P4"/>
      <c r="Q4">
        <v>105.6</v>
      </c>
      <c r="R4">
        <v>105.1</v>
      </c>
      <c r="S4">
        <v>106.3</v>
      </c>
      <c r="T4">
        <v>105.5</v>
      </c>
      <c r="U4">
        <v>106.2</v>
      </c>
      <c r="V4">
        <v>100.3</v>
      </c>
      <c r="W4">
        <v>105.5</v>
      </c>
      <c r="X4">
        <v>104.8</v>
      </c>
      <c r="Y4">
        <v>104</v>
      </c>
      <c r="Z4">
        <v>103.2</v>
      </c>
      <c r="AA4">
        <v>103.1</v>
      </c>
      <c r="AB4">
        <v>103.6</v>
      </c>
      <c r="AC4">
        <v>104.5</v>
      </c>
      <c r="AD4">
        <v>103.9</v>
      </c>
      <c r="AE4">
        <v>104.6</v>
      </c>
      <c r="AF4">
        <v>102.97</v>
      </c>
    </row>
    <row r="5" spans="1:46" hidden="1" x14ac:dyDescent="0.3">
      <c r="A5" t="s">
        <v>30</v>
      </c>
      <c r="B5">
        <v>2013</v>
      </c>
      <c r="C5" t="s">
        <v>35</v>
      </c>
      <c r="D5">
        <v>109.2</v>
      </c>
      <c r="E5">
        <v>108.7</v>
      </c>
      <c r="F5">
        <v>110.2</v>
      </c>
      <c r="G5">
        <v>105.4</v>
      </c>
      <c r="H5">
        <v>106.7</v>
      </c>
      <c r="I5">
        <v>104</v>
      </c>
      <c r="J5">
        <v>102.4</v>
      </c>
      <c r="K5">
        <v>105.9</v>
      </c>
      <c r="L5">
        <v>105.7</v>
      </c>
      <c r="M5">
        <v>103.1</v>
      </c>
      <c r="N5">
        <v>105.1</v>
      </c>
      <c r="O5">
        <v>107.7</v>
      </c>
      <c r="P5"/>
      <c r="Q5">
        <v>106.3</v>
      </c>
      <c r="R5">
        <v>105.6</v>
      </c>
      <c r="S5">
        <v>107.1</v>
      </c>
      <c r="T5">
        <v>106.3</v>
      </c>
      <c r="U5">
        <v>107</v>
      </c>
      <c r="V5" t="s">
        <v>32</v>
      </c>
      <c r="W5">
        <v>106.2</v>
      </c>
      <c r="X5">
        <v>105.2</v>
      </c>
      <c r="Y5">
        <v>104.4</v>
      </c>
      <c r="Z5">
        <v>103.9</v>
      </c>
      <c r="AA5">
        <v>104</v>
      </c>
      <c r="AB5">
        <v>104.1</v>
      </c>
      <c r="AC5">
        <v>104.6</v>
      </c>
      <c r="AD5">
        <v>104.4</v>
      </c>
      <c r="AE5">
        <v>105.8</v>
      </c>
      <c r="AF5">
        <v>44.19</v>
      </c>
    </row>
    <row r="6" spans="1:46" hidden="1" x14ac:dyDescent="0.3">
      <c r="A6" t="s">
        <v>33</v>
      </c>
      <c r="B6">
        <v>2013</v>
      </c>
      <c r="C6" t="s">
        <v>35</v>
      </c>
      <c r="D6">
        <v>112.9</v>
      </c>
      <c r="E6">
        <v>112.9</v>
      </c>
      <c r="F6">
        <v>116.9</v>
      </c>
      <c r="G6">
        <v>104</v>
      </c>
      <c r="H6">
        <v>103.5</v>
      </c>
      <c r="I6">
        <v>103.1</v>
      </c>
      <c r="J6">
        <v>104.9</v>
      </c>
      <c r="K6">
        <v>104.1</v>
      </c>
      <c r="L6">
        <v>103.8</v>
      </c>
      <c r="M6">
        <v>102.3</v>
      </c>
      <c r="N6">
        <v>106</v>
      </c>
      <c r="O6">
        <v>109</v>
      </c>
      <c r="P6"/>
      <c r="Q6">
        <v>107.2</v>
      </c>
      <c r="R6">
        <v>106</v>
      </c>
      <c r="S6">
        <v>106.6</v>
      </c>
      <c r="T6">
        <v>105.5</v>
      </c>
      <c r="U6">
        <v>106.4</v>
      </c>
      <c r="V6">
        <v>100.4</v>
      </c>
      <c r="W6">
        <v>105.7</v>
      </c>
      <c r="X6">
        <v>105.2</v>
      </c>
      <c r="Y6">
        <v>104.7</v>
      </c>
      <c r="Z6">
        <v>104.4</v>
      </c>
      <c r="AA6">
        <v>103.3</v>
      </c>
      <c r="AB6">
        <v>103.7</v>
      </c>
      <c r="AC6">
        <v>104.3</v>
      </c>
      <c r="AD6">
        <v>104.3</v>
      </c>
      <c r="AE6">
        <v>104.7</v>
      </c>
      <c r="AF6">
        <v>69.8</v>
      </c>
    </row>
    <row r="7" spans="1:46" hidden="1" x14ac:dyDescent="0.3">
      <c r="A7" t="s">
        <v>34</v>
      </c>
      <c r="B7">
        <v>2013</v>
      </c>
      <c r="C7" t="s">
        <v>35</v>
      </c>
      <c r="D7">
        <v>110.4</v>
      </c>
      <c r="E7">
        <v>110.2</v>
      </c>
      <c r="F7">
        <v>112.8</v>
      </c>
      <c r="G7">
        <v>104.9</v>
      </c>
      <c r="H7">
        <v>105.5</v>
      </c>
      <c r="I7">
        <v>103.6</v>
      </c>
      <c r="J7">
        <v>103.2</v>
      </c>
      <c r="K7">
        <v>105.3</v>
      </c>
      <c r="L7">
        <v>105.1</v>
      </c>
      <c r="M7">
        <v>102.8</v>
      </c>
      <c r="N7">
        <v>105.5</v>
      </c>
      <c r="O7">
        <v>108.3</v>
      </c>
      <c r="P7"/>
      <c r="Q7">
        <v>106.6</v>
      </c>
      <c r="R7">
        <v>105.7</v>
      </c>
      <c r="S7">
        <v>106.9</v>
      </c>
      <c r="T7">
        <v>106</v>
      </c>
      <c r="U7">
        <v>106.8</v>
      </c>
      <c r="V7">
        <v>100.4</v>
      </c>
      <c r="W7">
        <v>106</v>
      </c>
      <c r="X7">
        <v>105.2</v>
      </c>
      <c r="Y7">
        <v>104.5</v>
      </c>
      <c r="Z7">
        <v>104.2</v>
      </c>
      <c r="AA7">
        <v>103.6</v>
      </c>
      <c r="AB7">
        <v>103.9</v>
      </c>
      <c r="AC7">
        <v>104.5</v>
      </c>
      <c r="AD7">
        <v>104.4</v>
      </c>
      <c r="AE7">
        <v>105.3</v>
      </c>
      <c r="AF7">
        <v>49.84</v>
      </c>
    </row>
    <row r="8" spans="1:46" hidden="1" x14ac:dyDescent="0.3">
      <c r="A8" t="s">
        <v>30</v>
      </c>
      <c r="B8">
        <v>2013</v>
      </c>
      <c r="C8" t="s">
        <v>36</v>
      </c>
      <c r="D8">
        <v>110.2</v>
      </c>
      <c r="E8">
        <v>108.8</v>
      </c>
      <c r="F8">
        <v>109.9</v>
      </c>
      <c r="G8">
        <v>105.6</v>
      </c>
      <c r="H8">
        <v>106.2</v>
      </c>
      <c r="I8">
        <v>105.7</v>
      </c>
      <c r="J8">
        <v>101.4</v>
      </c>
      <c r="K8">
        <v>105.7</v>
      </c>
      <c r="L8">
        <v>105</v>
      </c>
      <c r="M8">
        <v>103.3</v>
      </c>
      <c r="N8">
        <v>105.6</v>
      </c>
      <c r="O8">
        <v>108.2</v>
      </c>
      <c r="P8"/>
      <c r="Q8">
        <v>106.6</v>
      </c>
      <c r="R8">
        <v>106.5</v>
      </c>
      <c r="S8">
        <v>107.6</v>
      </c>
      <c r="T8">
        <v>106.8</v>
      </c>
      <c r="U8">
        <v>107.5</v>
      </c>
      <c r="V8" t="s">
        <v>32</v>
      </c>
      <c r="W8">
        <v>106.1</v>
      </c>
      <c r="X8">
        <v>105.6</v>
      </c>
      <c r="Y8">
        <v>104.7</v>
      </c>
      <c r="Z8">
        <v>104.6</v>
      </c>
      <c r="AA8">
        <v>104</v>
      </c>
      <c r="AB8">
        <v>104.3</v>
      </c>
      <c r="AC8">
        <v>104.3</v>
      </c>
      <c r="AD8">
        <v>104.6</v>
      </c>
      <c r="AE8">
        <v>106</v>
      </c>
      <c r="AF8">
        <v>73.3</v>
      </c>
    </row>
    <row r="9" spans="1:46" hidden="1" x14ac:dyDescent="0.3">
      <c r="A9" t="s">
        <v>33</v>
      </c>
      <c r="B9">
        <v>2013</v>
      </c>
      <c r="C9" t="s">
        <v>36</v>
      </c>
      <c r="D9">
        <v>113.9</v>
      </c>
      <c r="E9">
        <v>111.4</v>
      </c>
      <c r="F9">
        <v>113.2</v>
      </c>
      <c r="G9">
        <v>104.3</v>
      </c>
      <c r="H9">
        <v>102.7</v>
      </c>
      <c r="I9">
        <v>104.9</v>
      </c>
      <c r="J9">
        <v>103.8</v>
      </c>
      <c r="K9">
        <v>103.5</v>
      </c>
      <c r="L9">
        <v>102.6</v>
      </c>
      <c r="M9">
        <v>102.4</v>
      </c>
      <c r="N9">
        <v>107</v>
      </c>
      <c r="O9">
        <v>109.8</v>
      </c>
      <c r="P9"/>
      <c r="Q9">
        <v>107.3</v>
      </c>
      <c r="R9">
        <v>106.8</v>
      </c>
      <c r="S9">
        <v>107.2</v>
      </c>
      <c r="T9">
        <v>106</v>
      </c>
      <c r="U9">
        <v>107</v>
      </c>
      <c r="V9">
        <v>100.4</v>
      </c>
      <c r="W9">
        <v>106</v>
      </c>
      <c r="X9">
        <v>105.7</v>
      </c>
      <c r="Y9">
        <v>105.2</v>
      </c>
      <c r="Z9">
        <v>105.5</v>
      </c>
      <c r="AA9">
        <v>103.5</v>
      </c>
      <c r="AB9">
        <v>103.8</v>
      </c>
      <c r="AC9">
        <v>104.2</v>
      </c>
      <c r="AD9">
        <v>104.9</v>
      </c>
      <c r="AE9">
        <v>105</v>
      </c>
      <c r="AF9">
        <v>61.22</v>
      </c>
    </row>
    <row r="10" spans="1:46" hidden="1" x14ac:dyDescent="0.3">
      <c r="A10" t="s">
        <v>34</v>
      </c>
      <c r="B10">
        <v>2013</v>
      </c>
      <c r="C10" t="s">
        <v>36</v>
      </c>
      <c r="D10">
        <v>111.4</v>
      </c>
      <c r="E10">
        <v>109.7</v>
      </c>
      <c r="F10">
        <v>111.2</v>
      </c>
      <c r="G10">
        <v>105.1</v>
      </c>
      <c r="H10">
        <v>104.9</v>
      </c>
      <c r="I10">
        <v>105.3</v>
      </c>
      <c r="J10">
        <v>102.2</v>
      </c>
      <c r="K10">
        <v>105</v>
      </c>
      <c r="L10">
        <v>104.2</v>
      </c>
      <c r="M10">
        <v>103</v>
      </c>
      <c r="N10">
        <v>106.2</v>
      </c>
      <c r="O10">
        <v>108.9</v>
      </c>
      <c r="P10"/>
      <c r="Q10">
        <v>106.9</v>
      </c>
      <c r="R10">
        <v>106.6</v>
      </c>
      <c r="S10">
        <v>107.4</v>
      </c>
      <c r="T10">
        <v>106.5</v>
      </c>
      <c r="U10">
        <v>107.3</v>
      </c>
      <c r="V10">
        <v>100.4</v>
      </c>
      <c r="W10">
        <v>106.1</v>
      </c>
      <c r="X10">
        <v>105.6</v>
      </c>
      <c r="Y10">
        <v>104.9</v>
      </c>
      <c r="Z10">
        <v>105.1</v>
      </c>
      <c r="AA10">
        <v>103.7</v>
      </c>
      <c r="AB10">
        <v>104</v>
      </c>
      <c r="AC10">
        <v>104.3</v>
      </c>
      <c r="AD10">
        <v>104.7</v>
      </c>
      <c r="AE10">
        <v>105.5</v>
      </c>
      <c r="AF10">
        <v>94.07</v>
      </c>
    </row>
    <row r="11" spans="1:46" hidden="1" x14ac:dyDescent="0.3">
      <c r="A11" t="s">
        <v>30</v>
      </c>
      <c r="B11">
        <v>2013</v>
      </c>
      <c r="C11" t="s">
        <v>37</v>
      </c>
      <c r="D11">
        <v>110.2</v>
      </c>
      <c r="E11">
        <v>109.5</v>
      </c>
      <c r="F11">
        <v>106.9</v>
      </c>
      <c r="G11">
        <v>106.3</v>
      </c>
      <c r="H11">
        <v>105.7</v>
      </c>
      <c r="I11">
        <v>108.3</v>
      </c>
      <c r="J11">
        <v>103.4</v>
      </c>
      <c r="K11">
        <v>105.7</v>
      </c>
      <c r="L11">
        <v>104.2</v>
      </c>
      <c r="M11">
        <v>103.2</v>
      </c>
      <c r="N11">
        <v>106.5</v>
      </c>
      <c r="O11">
        <v>108.8</v>
      </c>
      <c r="P11"/>
      <c r="Q11">
        <v>107.1</v>
      </c>
      <c r="R11">
        <v>107.1</v>
      </c>
      <c r="S11">
        <v>108.1</v>
      </c>
      <c r="T11">
        <v>107.4</v>
      </c>
      <c r="U11">
        <v>108</v>
      </c>
      <c r="V11" t="s">
        <v>32</v>
      </c>
      <c r="W11">
        <v>106.5</v>
      </c>
      <c r="X11">
        <v>106.1</v>
      </c>
      <c r="Y11">
        <v>105.1</v>
      </c>
      <c r="Z11">
        <v>104.4</v>
      </c>
      <c r="AA11">
        <v>104.5</v>
      </c>
      <c r="AB11">
        <v>104.8</v>
      </c>
      <c r="AC11">
        <v>102.7</v>
      </c>
      <c r="AD11">
        <v>104.6</v>
      </c>
      <c r="AE11">
        <v>106.4</v>
      </c>
      <c r="AF11">
        <v>82.28</v>
      </c>
    </row>
    <row r="12" spans="1:46" hidden="1" x14ac:dyDescent="0.3">
      <c r="A12" t="s">
        <v>33</v>
      </c>
      <c r="B12">
        <v>2013</v>
      </c>
      <c r="C12" t="s">
        <v>37</v>
      </c>
      <c r="D12">
        <v>114.6</v>
      </c>
      <c r="E12">
        <v>113.4</v>
      </c>
      <c r="F12">
        <v>106</v>
      </c>
      <c r="G12">
        <v>104.7</v>
      </c>
      <c r="H12">
        <v>102.1</v>
      </c>
      <c r="I12">
        <v>109.5</v>
      </c>
      <c r="J12">
        <v>109.7</v>
      </c>
      <c r="K12">
        <v>104.6</v>
      </c>
      <c r="L12">
        <v>102</v>
      </c>
      <c r="M12">
        <v>103.5</v>
      </c>
      <c r="N12">
        <v>108.2</v>
      </c>
      <c r="O12">
        <v>110.6</v>
      </c>
      <c r="P12"/>
      <c r="Q12">
        <v>108.8</v>
      </c>
      <c r="R12">
        <v>108.5</v>
      </c>
      <c r="S12">
        <v>107.9</v>
      </c>
      <c r="T12">
        <v>106.4</v>
      </c>
      <c r="U12">
        <v>107.7</v>
      </c>
      <c r="V12">
        <v>100.5</v>
      </c>
      <c r="W12">
        <v>106.4</v>
      </c>
      <c r="X12">
        <v>106.5</v>
      </c>
      <c r="Y12">
        <v>105.7</v>
      </c>
      <c r="Z12">
        <v>105</v>
      </c>
      <c r="AA12">
        <v>104</v>
      </c>
      <c r="AB12">
        <v>105.2</v>
      </c>
      <c r="AC12">
        <v>103.2</v>
      </c>
      <c r="AD12">
        <v>105.1</v>
      </c>
      <c r="AE12">
        <v>105.7</v>
      </c>
      <c r="AF12">
        <v>54.79</v>
      </c>
    </row>
    <row r="13" spans="1:46" hidden="1" x14ac:dyDescent="0.3">
      <c r="A13" t="s">
        <v>34</v>
      </c>
      <c r="B13">
        <v>2013</v>
      </c>
      <c r="C13" t="s">
        <v>37</v>
      </c>
      <c r="D13">
        <v>111.6</v>
      </c>
      <c r="E13">
        <v>110.9</v>
      </c>
      <c r="F13">
        <v>106.6</v>
      </c>
      <c r="G13">
        <v>105.7</v>
      </c>
      <c r="H13">
        <v>104.4</v>
      </c>
      <c r="I13">
        <v>108.9</v>
      </c>
      <c r="J13">
        <v>105.5</v>
      </c>
      <c r="K13">
        <v>105.3</v>
      </c>
      <c r="L13">
        <v>103.5</v>
      </c>
      <c r="M13">
        <v>103.3</v>
      </c>
      <c r="N13">
        <v>107.2</v>
      </c>
      <c r="O13">
        <v>109.6</v>
      </c>
      <c r="P13"/>
      <c r="Q13">
        <v>107.7</v>
      </c>
      <c r="R13">
        <v>107.5</v>
      </c>
      <c r="S13">
        <v>108</v>
      </c>
      <c r="T13">
        <v>107</v>
      </c>
      <c r="U13">
        <v>107.9</v>
      </c>
      <c r="V13">
        <v>100.5</v>
      </c>
      <c r="W13">
        <v>106.5</v>
      </c>
      <c r="X13">
        <v>106.3</v>
      </c>
      <c r="Y13">
        <v>105.3</v>
      </c>
      <c r="Z13">
        <v>104.7</v>
      </c>
      <c r="AA13">
        <v>104.2</v>
      </c>
      <c r="AB13">
        <v>105</v>
      </c>
      <c r="AC13">
        <v>102.9</v>
      </c>
      <c r="AD13">
        <v>104.8</v>
      </c>
      <c r="AE13">
        <v>106.1</v>
      </c>
      <c r="AF13">
        <v>84.67</v>
      </c>
    </row>
    <row r="14" spans="1:46" hidden="1" x14ac:dyDescent="0.3">
      <c r="A14" t="s">
        <v>30</v>
      </c>
      <c r="B14">
        <v>2013</v>
      </c>
      <c r="C14" t="s">
        <v>38</v>
      </c>
      <c r="D14">
        <v>110.9</v>
      </c>
      <c r="E14">
        <v>109.8</v>
      </c>
      <c r="F14">
        <v>105.9</v>
      </c>
      <c r="G14">
        <v>107.5</v>
      </c>
      <c r="H14">
        <v>105.3</v>
      </c>
      <c r="I14">
        <v>108.1</v>
      </c>
      <c r="J14">
        <v>107.3</v>
      </c>
      <c r="K14">
        <v>106.1</v>
      </c>
      <c r="L14">
        <v>103.7</v>
      </c>
      <c r="M14">
        <v>104</v>
      </c>
      <c r="N14">
        <v>107.4</v>
      </c>
      <c r="O14">
        <v>109.9</v>
      </c>
      <c r="P14"/>
      <c r="Q14">
        <v>108.1</v>
      </c>
      <c r="R14">
        <v>108.1</v>
      </c>
      <c r="S14">
        <v>108.8</v>
      </c>
      <c r="T14">
        <v>107.9</v>
      </c>
      <c r="U14">
        <v>108.6</v>
      </c>
      <c r="V14" t="s">
        <v>32</v>
      </c>
      <c r="W14">
        <v>107.5</v>
      </c>
      <c r="X14">
        <v>106.8</v>
      </c>
      <c r="Y14">
        <v>105.7</v>
      </c>
      <c r="Z14">
        <v>104.1</v>
      </c>
      <c r="AA14">
        <v>105</v>
      </c>
      <c r="AB14">
        <v>105.5</v>
      </c>
      <c r="AC14">
        <v>102.1</v>
      </c>
      <c r="AD14">
        <v>104.8</v>
      </c>
      <c r="AE14">
        <v>107.2</v>
      </c>
      <c r="AF14">
        <v>80.92</v>
      </c>
    </row>
    <row r="15" spans="1:46" hidden="1" x14ac:dyDescent="0.3">
      <c r="A15" t="s">
        <v>33</v>
      </c>
      <c r="B15">
        <v>2013</v>
      </c>
      <c r="C15" t="s">
        <v>38</v>
      </c>
      <c r="D15">
        <v>115.4</v>
      </c>
      <c r="E15">
        <v>114.2</v>
      </c>
      <c r="F15">
        <v>102.7</v>
      </c>
      <c r="G15">
        <v>105.5</v>
      </c>
      <c r="H15">
        <v>101.5</v>
      </c>
      <c r="I15">
        <v>110.6</v>
      </c>
      <c r="J15">
        <v>123.7</v>
      </c>
      <c r="K15">
        <v>105.2</v>
      </c>
      <c r="L15">
        <v>101.9</v>
      </c>
      <c r="M15">
        <v>105</v>
      </c>
      <c r="N15">
        <v>109.1</v>
      </c>
      <c r="O15">
        <v>111.3</v>
      </c>
      <c r="P15"/>
      <c r="Q15">
        <v>111.1</v>
      </c>
      <c r="R15">
        <v>109.8</v>
      </c>
      <c r="S15">
        <v>108.5</v>
      </c>
      <c r="T15">
        <v>106.7</v>
      </c>
      <c r="U15">
        <v>108.3</v>
      </c>
      <c r="V15">
        <v>100.5</v>
      </c>
      <c r="W15">
        <v>107.2</v>
      </c>
      <c r="X15">
        <v>107.1</v>
      </c>
      <c r="Y15">
        <v>106.2</v>
      </c>
      <c r="Z15">
        <v>103.9</v>
      </c>
      <c r="AA15">
        <v>104.6</v>
      </c>
      <c r="AB15">
        <v>105.7</v>
      </c>
      <c r="AC15">
        <v>102.6</v>
      </c>
      <c r="AD15">
        <v>104.9</v>
      </c>
      <c r="AE15">
        <v>106.6</v>
      </c>
      <c r="AF15">
        <v>43.35</v>
      </c>
    </row>
    <row r="16" spans="1:46" hidden="1" x14ac:dyDescent="0.3">
      <c r="A16" t="s">
        <v>34</v>
      </c>
      <c r="B16">
        <v>2013</v>
      </c>
      <c r="C16" t="s">
        <v>38</v>
      </c>
      <c r="D16">
        <v>112.3</v>
      </c>
      <c r="E16">
        <v>111.3</v>
      </c>
      <c r="F16">
        <v>104.7</v>
      </c>
      <c r="G16">
        <v>106.8</v>
      </c>
      <c r="H16">
        <v>103.9</v>
      </c>
      <c r="I16">
        <v>109.3</v>
      </c>
      <c r="J16">
        <v>112.9</v>
      </c>
      <c r="K16">
        <v>105.8</v>
      </c>
      <c r="L16">
        <v>103.1</v>
      </c>
      <c r="M16">
        <v>104.3</v>
      </c>
      <c r="N16">
        <v>108.1</v>
      </c>
      <c r="O16">
        <v>110.5</v>
      </c>
      <c r="P16"/>
      <c r="Q16">
        <v>109.2</v>
      </c>
      <c r="R16">
        <v>108.6</v>
      </c>
      <c r="S16">
        <v>108.7</v>
      </c>
      <c r="T16">
        <v>107.4</v>
      </c>
      <c r="U16">
        <v>108.5</v>
      </c>
      <c r="V16">
        <v>100.5</v>
      </c>
      <c r="W16">
        <v>107.4</v>
      </c>
      <c r="X16">
        <v>106.9</v>
      </c>
      <c r="Y16">
        <v>105.9</v>
      </c>
      <c r="Z16">
        <v>104</v>
      </c>
      <c r="AA16">
        <v>104.8</v>
      </c>
      <c r="AB16">
        <v>105.6</v>
      </c>
      <c r="AC16">
        <v>102.3</v>
      </c>
      <c r="AD16">
        <v>104.8</v>
      </c>
      <c r="AE16">
        <v>106.9</v>
      </c>
      <c r="AF16">
        <v>73.540000000000006</v>
      </c>
    </row>
    <row r="17" spans="1:32" hidden="1" x14ac:dyDescent="0.3">
      <c r="A17" t="s">
        <v>30</v>
      </c>
      <c r="B17">
        <v>2013</v>
      </c>
      <c r="C17" t="s">
        <v>39</v>
      </c>
      <c r="D17">
        <v>112.3</v>
      </c>
      <c r="E17">
        <v>112.1</v>
      </c>
      <c r="F17">
        <v>108.1</v>
      </c>
      <c r="G17">
        <v>108.3</v>
      </c>
      <c r="H17">
        <v>105.9</v>
      </c>
      <c r="I17">
        <v>109.2</v>
      </c>
      <c r="J17">
        <v>118</v>
      </c>
      <c r="K17">
        <v>106.8</v>
      </c>
      <c r="L17">
        <v>104.1</v>
      </c>
      <c r="M17">
        <v>105.4</v>
      </c>
      <c r="N17">
        <v>108.2</v>
      </c>
      <c r="O17">
        <v>111</v>
      </c>
      <c r="P17"/>
      <c r="Q17">
        <v>110.6</v>
      </c>
      <c r="R17">
        <v>109</v>
      </c>
      <c r="S17">
        <v>109.7</v>
      </c>
      <c r="T17">
        <v>108.8</v>
      </c>
      <c r="U17">
        <v>109.5</v>
      </c>
      <c r="V17" t="s">
        <v>32</v>
      </c>
      <c r="W17">
        <v>108.5</v>
      </c>
      <c r="X17">
        <v>107.5</v>
      </c>
      <c r="Y17">
        <v>106.3</v>
      </c>
      <c r="Z17">
        <v>105</v>
      </c>
      <c r="AA17">
        <v>105.6</v>
      </c>
      <c r="AB17">
        <v>106.5</v>
      </c>
      <c r="AC17">
        <v>102.5</v>
      </c>
      <c r="AD17">
        <v>105.5</v>
      </c>
      <c r="AE17">
        <v>108.9</v>
      </c>
      <c r="AF17">
        <v>40.630000000000003</v>
      </c>
    </row>
    <row r="18" spans="1:32" hidden="1" x14ac:dyDescent="0.3">
      <c r="A18" t="s">
        <v>33</v>
      </c>
      <c r="B18">
        <v>2013</v>
      </c>
      <c r="C18" t="s">
        <v>39</v>
      </c>
      <c r="D18">
        <v>117</v>
      </c>
      <c r="E18">
        <v>120.1</v>
      </c>
      <c r="F18">
        <v>112.5</v>
      </c>
      <c r="G18">
        <v>107.3</v>
      </c>
      <c r="H18">
        <v>101.3</v>
      </c>
      <c r="I18">
        <v>112.4</v>
      </c>
      <c r="J18">
        <v>143.6</v>
      </c>
      <c r="K18">
        <v>105.4</v>
      </c>
      <c r="L18">
        <v>101.4</v>
      </c>
      <c r="M18">
        <v>106.4</v>
      </c>
      <c r="N18">
        <v>110</v>
      </c>
      <c r="O18">
        <v>112.2</v>
      </c>
      <c r="P18"/>
      <c r="Q18">
        <v>115</v>
      </c>
      <c r="R18">
        <v>110.9</v>
      </c>
      <c r="S18">
        <v>109.2</v>
      </c>
      <c r="T18">
        <v>107.2</v>
      </c>
      <c r="U18">
        <v>108.9</v>
      </c>
      <c r="V18">
        <v>106.6</v>
      </c>
      <c r="W18">
        <v>108</v>
      </c>
      <c r="X18">
        <v>107.7</v>
      </c>
      <c r="Y18">
        <v>106.5</v>
      </c>
      <c r="Z18">
        <v>105.2</v>
      </c>
      <c r="AA18">
        <v>105.2</v>
      </c>
      <c r="AB18">
        <v>108.1</v>
      </c>
      <c r="AC18">
        <v>103.3</v>
      </c>
      <c r="AD18">
        <v>106.1</v>
      </c>
      <c r="AE18">
        <v>109.7</v>
      </c>
      <c r="AF18">
        <v>71.98</v>
      </c>
    </row>
    <row r="19" spans="1:32" hidden="1" x14ac:dyDescent="0.3">
      <c r="A19" t="s">
        <v>34</v>
      </c>
      <c r="B19">
        <v>2013</v>
      </c>
      <c r="C19" t="s">
        <v>39</v>
      </c>
      <c r="D19">
        <v>113.8</v>
      </c>
      <c r="E19">
        <v>114.9</v>
      </c>
      <c r="F19">
        <v>109.8</v>
      </c>
      <c r="G19">
        <v>107.9</v>
      </c>
      <c r="H19">
        <v>104.2</v>
      </c>
      <c r="I19">
        <v>110.7</v>
      </c>
      <c r="J19">
        <v>126.7</v>
      </c>
      <c r="K19">
        <v>106.3</v>
      </c>
      <c r="L19">
        <v>103.2</v>
      </c>
      <c r="M19">
        <v>105.7</v>
      </c>
      <c r="N19">
        <v>109</v>
      </c>
      <c r="O19">
        <v>111.6</v>
      </c>
      <c r="P19"/>
      <c r="Q19">
        <v>112.2</v>
      </c>
      <c r="R19">
        <v>109.5</v>
      </c>
      <c r="S19">
        <v>109.5</v>
      </c>
      <c r="T19">
        <v>108.1</v>
      </c>
      <c r="U19">
        <v>109.3</v>
      </c>
      <c r="V19">
        <v>106.6</v>
      </c>
      <c r="W19">
        <v>108.3</v>
      </c>
      <c r="X19">
        <v>107.6</v>
      </c>
      <c r="Y19">
        <v>106.4</v>
      </c>
      <c r="Z19">
        <v>105.1</v>
      </c>
      <c r="AA19">
        <v>105.4</v>
      </c>
      <c r="AB19">
        <v>107.4</v>
      </c>
      <c r="AC19">
        <v>102.8</v>
      </c>
      <c r="AD19">
        <v>105.8</v>
      </c>
      <c r="AE19">
        <v>109.3</v>
      </c>
      <c r="AF19">
        <v>64.73</v>
      </c>
    </row>
    <row r="20" spans="1:32"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c r="Q20">
        <v>113.1</v>
      </c>
      <c r="R20">
        <v>109.8</v>
      </c>
      <c r="S20">
        <v>110.5</v>
      </c>
      <c r="T20">
        <v>109.5</v>
      </c>
      <c r="U20">
        <v>110.3</v>
      </c>
      <c r="V20" t="s">
        <v>32</v>
      </c>
      <c r="W20">
        <v>109.5</v>
      </c>
      <c r="X20">
        <v>108.3</v>
      </c>
      <c r="Y20">
        <v>106.9</v>
      </c>
      <c r="Z20">
        <v>106.8</v>
      </c>
      <c r="AA20">
        <v>106.4</v>
      </c>
      <c r="AB20">
        <v>107.8</v>
      </c>
      <c r="AC20">
        <v>102.5</v>
      </c>
      <c r="AD20">
        <v>106.5</v>
      </c>
      <c r="AE20">
        <v>110.7</v>
      </c>
      <c r="AF20">
        <v>112.87</v>
      </c>
    </row>
    <row r="21" spans="1:32" hidden="1" x14ac:dyDescent="0.3">
      <c r="A21" t="s">
        <v>33</v>
      </c>
      <c r="B21">
        <v>2013</v>
      </c>
      <c r="C21" t="s">
        <v>40</v>
      </c>
      <c r="D21">
        <v>117.8</v>
      </c>
      <c r="E21">
        <v>119.2</v>
      </c>
      <c r="F21">
        <v>114</v>
      </c>
      <c r="G21">
        <v>108.3</v>
      </c>
      <c r="H21">
        <v>101.1</v>
      </c>
      <c r="I21">
        <v>113.2</v>
      </c>
      <c r="J21">
        <v>160.9</v>
      </c>
      <c r="K21">
        <v>105.1</v>
      </c>
      <c r="L21">
        <v>101.3</v>
      </c>
      <c r="M21">
        <v>107.5</v>
      </c>
      <c r="N21">
        <v>110.4</v>
      </c>
      <c r="O21">
        <v>113.1</v>
      </c>
      <c r="P21"/>
      <c r="Q21">
        <v>117.5</v>
      </c>
      <c r="R21">
        <v>111.7</v>
      </c>
      <c r="S21">
        <v>109.8</v>
      </c>
      <c r="T21">
        <v>107.8</v>
      </c>
      <c r="U21">
        <v>109.5</v>
      </c>
      <c r="V21">
        <v>107.7</v>
      </c>
      <c r="W21">
        <v>108.6</v>
      </c>
      <c r="X21">
        <v>108.1</v>
      </c>
      <c r="Y21">
        <v>107.1</v>
      </c>
      <c r="Z21">
        <v>107.3</v>
      </c>
      <c r="AA21">
        <v>105.9</v>
      </c>
      <c r="AB21">
        <v>110.1</v>
      </c>
      <c r="AC21">
        <v>103.2</v>
      </c>
      <c r="AD21">
        <v>107.3</v>
      </c>
      <c r="AE21">
        <v>111.4</v>
      </c>
      <c r="AF21">
        <v>78.540000000000006</v>
      </c>
    </row>
    <row r="22" spans="1:32" hidden="1" x14ac:dyDescent="0.3">
      <c r="A22" t="s">
        <v>34</v>
      </c>
      <c r="B22">
        <v>2013</v>
      </c>
      <c r="C22" t="s">
        <v>40</v>
      </c>
      <c r="D22">
        <v>114.8</v>
      </c>
      <c r="E22">
        <v>116.4</v>
      </c>
      <c r="F22">
        <v>111.9</v>
      </c>
      <c r="G22">
        <v>108.9</v>
      </c>
      <c r="H22">
        <v>104.3</v>
      </c>
      <c r="I22">
        <v>111.7</v>
      </c>
      <c r="J22">
        <v>140</v>
      </c>
      <c r="K22">
        <v>106.4</v>
      </c>
      <c r="L22">
        <v>103.3</v>
      </c>
      <c r="M22">
        <v>106.8</v>
      </c>
      <c r="N22">
        <v>109.6</v>
      </c>
      <c r="O22">
        <v>112.6</v>
      </c>
      <c r="P22"/>
      <c r="Q22">
        <v>114.7</v>
      </c>
      <c r="R22">
        <v>110.3</v>
      </c>
      <c r="S22">
        <v>110.2</v>
      </c>
      <c r="T22">
        <v>108.8</v>
      </c>
      <c r="U22">
        <v>110</v>
      </c>
      <c r="V22">
        <v>107.7</v>
      </c>
      <c r="W22">
        <v>109.2</v>
      </c>
      <c r="X22">
        <v>108.2</v>
      </c>
      <c r="Y22">
        <v>107</v>
      </c>
      <c r="Z22">
        <v>107.1</v>
      </c>
      <c r="AA22">
        <v>106.1</v>
      </c>
      <c r="AB22">
        <v>109.1</v>
      </c>
      <c r="AC22">
        <v>102.8</v>
      </c>
      <c r="AD22">
        <v>106.9</v>
      </c>
      <c r="AE22">
        <v>111</v>
      </c>
      <c r="AF22">
        <v>30.61</v>
      </c>
    </row>
    <row r="23" spans="1:32" hidden="1" x14ac:dyDescent="0.3">
      <c r="A23" t="s">
        <v>30</v>
      </c>
      <c r="B23">
        <v>2013</v>
      </c>
      <c r="C23" t="s">
        <v>41</v>
      </c>
      <c r="D23">
        <v>114.3</v>
      </c>
      <c r="E23">
        <v>115.4</v>
      </c>
      <c r="F23">
        <v>111.1</v>
      </c>
      <c r="G23">
        <v>110</v>
      </c>
      <c r="H23">
        <v>106.4</v>
      </c>
      <c r="I23">
        <v>110.8</v>
      </c>
      <c r="J23">
        <v>138.9</v>
      </c>
      <c r="K23">
        <v>107.4</v>
      </c>
      <c r="L23">
        <v>104.1</v>
      </c>
      <c r="M23">
        <v>106.9</v>
      </c>
      <c r="N23">
        <v>109.7</v>
      </c>
      <c r="O23">
        <v>112.6</v>
      </c>
      <c r="P23"/>
      <c r="Q23">
        <v>114.9</v>
      </c>
      <c r="R23">
        <v>110.7</v>
      </c>
      <c r="S23">
        <v>111.3</v>
      </c>
      <c r="T23">
        <v>110.2</v>
      </c>
      <c r="U23">
        <v>111.1</v>
      </c>
      <c r="V23" t="s">
        <v>32</v>
      </c>
      <c r="W23">
        <v>109.9</v>
      </c>
      <c r="X23">
        <v>108.7</v>
      </c>
      <c r="Y23">
        <v>107.5</v>
      </c>
      <c r="Z23">
        <v>107.8</v>
      </c>
      <c r="AA23">
        <v>106.8</v>
      </c>
      <c r="AB23">
        <v>108.7</v>
      </c>
      <c r="AC23">
        <v>105</v>
      </c>
      <c r="AD23">
        <v>107.5</v>
      </c>
      <c r="AE23">
        <v>112.1</v>
      </c>
      <c r="AF23">
        <v>66.95</v>
      </c>
    </row>
    <row r="24" spans="1:32" hidden="1" x14ac:dyDescent="0.3">
      <c r="A24" t="s">
        <v>33</v>
      </c>
      <c r="B24">
        <v>2013</v>
      </c>
      <c r="C24" t="s">
        <v>41</v>
      </c>
      <c r="D24">
        <v>118.3</v>
      </c>
      <c r="E24">
        <v>120.4</v>
      </c>
      <c r="F24">
        <v>112.7</v>
      </c>
      <c r="G24">
        <v>108.9</v>
      </c>
      <c r="H24">
        <v>101.1</v>
      </c>
      <c r="I24">
        <v>108.7</v>
      </c>
      <c r="J24">
        <v>177</v>
      </c>
      <c r="K24">
        <v>104.7</v>
      </c>
      <c r="L24">
        <v>101</v>
      </c>
      <c r="M24">
        <v>108.5</v>
      </c>
      <c r="N24">
        <v>110.9</v>
      </c>
      <c r="O24">
        <v>114.3</v>
      </c>
      <c r="P24"/>
      <c r="Q24">
        <v>119.6</v>
      </c>
      <c r="R24">
        <v>112.4</v>
      </c>
      <c r="S24">
        <v>110.6</v>
      </c>
      <c r="T24">
        <v>108.3</v>
      </c>
      <c r="U24">
        <v>110.2</v>
      </c>
      <c r="V24">
        <v>108.9</v>
      </c>
      <c r="W24">
        <v>109.3</v>
      </c>
      <c r="X24">
        <v>108.7</v>
      </c>
      <c r="Y24">
        <v>107.6</v>
      </c>
      <c r="Z24">
        <v>108.1</v>
      </c>
      <c r="AA24">
        <v>106.5</v>
      </c>
      <c r="AB24">
        <v>110.8</v>
      </c>
      <c r="AC24">
        <v>106</v>
      </c>
      <c r="AD24">
        <v>108.3</v>
      </c>
      <c r="AE24">
        <v>112.7</v>
      </c>
      <c r="AF24">
        <v>109.51</v>
      </c>
    </row>
    <row r="25" spans="1:32"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c r="Q25">
        <v>116.6</v>
      </c>
      <c r="R25">
        <v>111.2</v>
      </c>
      <c r="S25">
        <v>111</v>
      </c>
      <c r="T25">
        <v>109.4</v>
      </c>
      <c r="U25">
        <v>110.7</v>
      </c>
      <c r="V25">
        <v>108.9</v>
      </c>
      <c r="W25">
        <v>109.7</v>
      </c>
      <c r="X25">
        <v>108.7</v>
      </c>
      <c r="Y25">
        <v>107.5</v>
      </c>
      <c r="Z25">
        <v>108</v>
      </c>
      <c r="AA25">
        <v>106.6</v>
      </c>
      <c r="AB25">
        <v>109.9</v>
      </c>
      <c r="AC25">
        <v>105.4</v>
      </c>
      <c r="AD25">
        <v>107.9</v>
      </c>
      <c r="AE25">
        <v>112.4</v>
      </c>
      <c r="AF25">
        <v>43.34</v>
      </c>
    </row>
    <row r="26" spans="1:32" hidden="1" x14ac:dyDescent="0.3">
      <c r="A26" t="s">
        <v>30</v>
      </c>
      <c r="B26">
        <v>2013</v>
      </c>
      <c r="C26" t="s">
        <v>42</v>
      </c>
      <c r="D26">
        <v>115.4</v>
      </c>
      <c r="E26">
        <v>115.7</v>
      </c>
      <c r="F26">
        <v>111.7</v>
      </c>
      <c r="G26">
        <v>111</v>
      </c>
      <c r="H26">
        <v>107.4</v>
      </c>
      <c r="I26">
        <v>110.9</v>
      </c>
      <c r="J26">
        <v>154</v>
      </c>
      <c r="K26">
        <v>108.1</v>
      </c>
      <c r="L26">
        <v>104.2</v>
      </c>
      <c r="M26">
        <v>107.9</v>
      </c>
      <c r="N26">
        <v>110.4</v>
      </c>
      <c r="O26">
        <v>114</v>
      </c>
      <c r="P26"/>
      <c r="Q26">
        <v>117.8</v>
      </c>
      <c r="R26">
        <v>111.7</v>
      </c>
      <c r="S26">
        <v>112.7</v>
      </c>
      <c r="T26">
        <v>111.4</v>
      </c>
      <c r="U26">
        <v>112.5</v>
      </c>
      <c r="V26" t="s">
        <v>32</v>
      </c>
      <c r="W26">
        <v>111.1</v>
      </c>
      <c r="X26">
        <v>109.6</v>
      </c>
      <c r="Y26">
        <v>108.3</v>
      </c>
      <c r="Z26">
        <v>109.3</v>
      </c>
      <c r="AA26">
        <v>107.7</v>
      </c>
      <c r="AB26">
        <v>109.8</v>
      </c>
      <c r="AC26">
        <v>106.7</v>
      </c>
      <c r="AD26">
        <v>108.7</v>
      </c>
      <c r="AE26">
        <v>114.2</v>
      </c>
      <c r="AF26">
        <v>80.64</v>
      </c>
    </row>
    <row r="27" spans="1:32" hidden="1" x14ac:dyDescent="0.3">
      <c r="A27" t="s">
        <v>33</v>
      </c>
      <c r="B27">
        <v>2013</v>
      </c>
      <c r="C27" t="s">
        <v>42</v>
      </c>
      <c r="D27">
        <v>118.6</v>
      </c>
      <c r="E27">
        <v>119.1</v>
      </c>
      <c r="F27">
        <v>113.2</v>
      </c>
      <c r="G27">
        <v>109.6</v>
      </c>
      <c r="H27">
        <v>101.7</v>
      </c>
      <c r="I27">
        <v>103.2</v>
      </c>
      <c r="J27">
        <v>174.3</v>
      </c>
      <c r="K27">
        <v>105.1</v>
      </c>
      <c r="L27">
        <v>100.8</v>
      </c>
      <c r="M27">
        <v>109.1</v>
      </c>
      <c r="N27">
        <v>111.1</v>
      </c>
      <c r="O27">
        <v>115.4</v>
      </c>
      <c r="P27"/>
      <c r="Q27">
        <v>119.2</v>
      </c>
      <c r="R27">
        <v>112.9</v>
      </c>
      <c r="S27">
        <v>111.4</v>
      </c>
      <c r="T27">
        <v>109</v>
      </c>
      <c r="U27">
        <v>111.1</v>
      </c>
      <c r="V27">
        <v>109.7</v>
      </c>
      <c r="W27">
        <v>109.5</v>
      </c>
      <c r="X27">
        <v>109.6</v>
      </c>
      <c r="Y27">
        <v>107.9</v>
      </c>
      <c r="Z27">
        <v>110.4</v>
      </c>
      <c r="AA27">
        <v>107.4</v>
      </c>
      <c r="AB27">
        <v>111.2</v>
      </c>
      <c r="AC27">
        <v>106.9</v>
      </c>
      <c r="AD27">
        <v>109.4</v>
      </c>
      <c r="AE27">
        <v>113.2</v>
      </c>
      <c r="AF27">
        <v>40.659999999999997</v>
      </c>
    </row>
    <row r="28" spans="1:32" hidden="1" x14ac:dyDescent="0.3">
      <c r="A28" t="s">
        <v>34</v>
      </c>
      <c r="B28">
        <v>2013</v>
      </c>
      <c r="C28" t="s">
        <v>42</v>
      </c>
      <c r="D28">
        <v>116.4</v>
      </c>
      <c r="E28">
        <v>116.9</v>
      </c>
      <c r="F28">
        <v>112.3</v>
      </c>
      <c r="G28">
        <v>110.5</v>
      </c>
      <c r="H28">
        <v>105.3</v>
      </c>
      <c r="I28">
        <v>107.3</v>
      </c>
      <c r="J28">
        <v>160.9</v>
      </c>
      <c r="K28">
        <v>107.1</v>
      </c>
      <c r="L28">
        <v>103.1</v>
      </c>
      <c r="M28">
        <v>108.3</v>
      </c>
      <c r="N28">
        <v>110.7</v>
      </c>
      <c r="O28">
        <v>114.6</v>
      </c>
      <c r="P28"/>
      <c r="Q28">
        <v>118.3</v>
      </c>
      <c r="R28">
        <v>112</v>
      </c>
      <c r="S28">
        <v>112.2</v>
      </c>
      <c r="T28">
        <v>110.4</v>
      </c>
      <c r="U28">
        <v>111.9</v>
      </c>
      <c r="V28">
        <v>109.7</v>
      </c>
      <c r="W28">
        <v>110.5</v>
      </c>
      <c r="X28">
        <v>109.6</v>
      </c>
      <c r="Y28">
        <v>108.1</v>
      </c>
      <c r="Z28">
        <v>109.9</v>
      </c>
      <c r="AA28">
        <v>107.5</v>
      </c>
      <c r="AB28">
        <v>110.6</v>
      </c>
      <c r="AC28">
        <v>106.8</v>
      </c>
      <c r="AD28">
        <v>109</v>
      </c>
      <c r="AE28">
        <v>113.7</v>
      </c>
      <c r="AF28">
        <v>82.11</v>
      </c>
    </row>
    <row r="29" spans="1:32" hidden="1" x14ac:dyDescent="0.3">
      <c r="A29" t="s">
        <v>30</v>
      </c>
      <c r="B29">
        <v>2013</v>
      </c>
      <c r="C29" t="s">
        <v>43</v>
      </c>
      <c r="D29">
        <v>116.3</v>
      </c>
      <c r="E29">
        <v>115.4</v>
      </c>
      <c r="F29">
        <v>112.6</v>
      </c>
      <c r="G29">
        <v>111.7</v>
      </c>
      <c r="H29">
        <v>107.7</v>
      </c>
      <c r="I29">
        <v>113.2</v>
      </c>
      <c r="J29">
        <v>164.9</v>
      </c>
      <c r="K29">
        <v>108.3</v>
      </c>
      <c r="L29">
        <v>103.9</v>
      </c>
      <c r="M29">
        <v>108.2</v>
      </c>
      <c r="N29">
        <v>111.1</v>
      </c>
      <c r="O29">
        <v>114.9</v>
      </c>
      <c r="P29"/>
      <c r="Q29">
        <v>119.8</v>
      </c>
      <c r="R29">
        <v>112.2</v>
      </c>
      <c r="S29">
        <v>113.6</v>
      </c>
      <c r="T29">
        <v>112.3</v>
      </c>
      <c r="U29">
        <v>113.4</v>
      </c>
      <c r="V29" t="s">
        <v>32</v>
      </c>
      <c r="W29">
        <v>111.6</v>
      </c>
      <c r="X29">
        <v>110.4</v>
      </c>
      <c r="Y29">
        <v>108.9</v>
      </c>
      <c r="Z29">
        <v>109.3</v>
      </c>
      <c r="AA29">
        <v>108.3</v>
      </c>
      <c r="AB29">
        <v>110.2</v>
      </c>
      <c r="AC29">
        <v>107.5</v>
      </c>
      <c r="AD29">
        <v>109.1</v>
      </c>
      <c r="AE29">
        <v>115.5</v>
      </c>
      <c r="AF29">
        <v>41.35</v>
      </c>
    </row>
    <row r="30" spans="1:32" hidden="1" x14ac:dyDescent="0.3">
      <c r="A30" t="s">
        <v>33</v>
      </c>
      <c r="B30">
        <v>2013</v>
      </c>
      <c r="C30" t="s">
        <v>43</v>
      </c>
      <c r="D30">
        <v>118.9</v>
      </c>
      <c r="E30">
        <v>118.1</v>
      </c>
      <c r="F30">
        <v>114.5</v>
      </c>
      <c r="G30">
        <v>110.4</v>
      </c>
      <c r="H30">
        <v>102.3</v>
      </c>
      <c r="I30">
        <v>106.2</v>
      </c>
      <c r="J30">
        <v>183.5</v>
      </c>
      <c r="K30">
        <v>105.3</v>
      </c>
      <c r="L30">
        <v>100.2</v>
      </c>
      <c r="M30">
        <v>109.6</v>
      </c>
      <c r="N30">
        <v>111.4</v>
      </c>
      <c r="O30">
        <v>116</v>
      </c>
      <c r="P30"/>
      <c r="Q30">
        <v>120.8</v>
      </c>
      <c r="R30">
        <v>113.5</v>
      </c>
      <c r="S30">
        <v>112.5</v>
      </c>
      <c r="T30">
        <v>109.7</v>
      </c>
      <c r="U30">
        <v>112</v>
      </c>
      <c r="V30">
        <v>110.5</v>
      </c>
      <c r="W30">
        <v>109.7</v>
      </c>
      <c r="X30">
        <v>110.2</v>
      </c>
      <c r="Y30">
        <v>108.2</v>
      </c>
      <c r="Z30">
        <v>109.7</v>
      </c>
      <c r="AA30">
        <v>108</v>
      </c>
      <c r="AB30">
        <v>111.3</v>
      </c>
      <c r="AC30">
        <v>107.3</v>
      </c>
      <c r="AD30">
        <v>109.4</v>
      </c>
      <c r="AE30">
        <v>114</v>
      </c>
      <c r="AF30">
        <v>73.13</v>
      </c>
    </row>
    <row r="31" spans="1:32" hidden="1" x14ac:dyDescent="0.3">
      <c r="A31" t="s">
        <v>34</v>
      </c>
      <c r="B31">
        <v>2013</v>
      </c>
      <c r="C31" t="s">
        <v>43</v>
      </c>
      <c r="D31">
        <v>117.1</v>
      </c>
      <c r="E31">
        <v>116.3</v>
      </c>
      <c r="F31">
        <v>113.3</v>
      </c>
      <c r="G31">
        <v>111.2</v>
      </c>
      <c r="H31">
        <v>105.7</v>
      </c>
      <c r="I31">
        <v>109.9</v>
      </c>
      <c r="J31">
        <v>171.2</v>
      </c>
      <c r="K31">
        <v>107.3</v>
      </c>
      <c r="L31">
        <v>102.7</v>
      </c>
      <c r="M31">
        <v>108.7</v>
      </c>
      <c r="N31">
        <v>111.2</v>
      </c>
      <c r="O31">
        <v>115.4</v>
      </c>
      <c r="P31"/>
      <c r="Q31">
        <v>120.2</v>
      </c>
      <c r="R31">
        <v>112.5</v>
      </c>
      <c r="S31">
        <v>113.2</v>
      </c>
      <c r="T31">
        <v>111.2</v>
      </c>
      <c r="U31">
        <v>112.8</v>
      </c>
      <c r="V31">
        <v>110.5</v>
      </c>
      <c r="W31">
        <v>110.9</v>
      </c>
      <c r="X31">
        <v>110.3</v>
      </c>
      <c r="Y31">
        <v>108.6</v>
      </c>
      <c r="Z31">
        <v>109.5</v>
      </c>
      <c r="AA31">
        <v>108.1</v>
      </c>
      <c r="AB31">
        <v>110.8</v>
      </c>
      <c r="AC31">
        <v>107.4</v>
      </c>
      <c r="AD31">
        <v>109.2</v>
      </c>
      <c r="AE31">
        <v>114.8</v>
      </c>
    </row>
    <row r="32" spans="1:32" hidden="1" x14ac:dyDescent="0.3">
      <c r="A32" t="s">
        <v>30</v>
      </c>
      <c r="B32">
        <v>2013</v>
      </c>
      <c r="C32" t="s">
        <v>44</v>
      </c>
      <c r="D32">
        <v>117.3</v>
      </c>
      <c r="E32">
        <v>114.9</v>
      </c>
      <c r="F32">
        <v>116.2</v>
      </c>
      <c r="G32">
        <v>112.8</v>
      </c>
      <c r="H32">
        <v>108.9</v>
      </c>
      <c r="I32">
        <v>116.6</v>
      </c>
      <c r="J32">
        <v>178.1</v>
      </c>
      <c r="K32">
        <v>109.1</v>
      </c>
      <c r="L32">
        <v>103.6</v>
      </c>
      <c r="M32">
        <v>109</v>
      </c>
      <c r="N32">
        <v>111.8</v>
      </c>
      <c r="O32">
        <v>116</v>
      </c>
      <c r="P32"/>
      <c r="Q32">
        <v>122.5</v>
      </c>
      <c r="R32">
        <v>112.8</v>
      </c>
      <c r="S32">
        <v>114.6</v>
      </c>
      <c r="T32">
        <v>113.1</v>
      </c>
      <c r="U32">
        <v>114.4</v>
      </c>
      <c r="V32" t="s">
        <v>32</v>
      </c>
      <c r="W32">
        <v>112.6</v>
      </c>
      <c r="X32">
        <v>111.3</v>
      </c>
      <c r="Y32">
        <v>109.7</v>
      </c>
      <c r="Z32">
        <v>109.6</v>
      </c>
      <c r="AA32">
        <v>108.7</v>
      </c>
      <c r="AB32">
        <v>111</v>
      </c>
      <c r="AC32">
        <v>108.2</v>
      </c>
      <c r="AD32">
        <v>109.8</v>
      </c>
      <c r="AE32">
        <v>117.4</v>
      </c>
    </row>
    <row r="33" spans="1:31" hidden="1" x14ac:dyDescent="0.3">
      <c r="A33" t="s">
        <v>33</v>
      </c>
      <c r="B33">
        <v>2013</v>
      </c>
      <c r="C33" t="s">
        <v>45</v>
      </c>
      <c r="D33">
        <v>119.8</v>
      </c>
      <c r="E33">
        <v>116.3</v>
      </c>
      <c r="F33">
        <v>122.6</v>
      </c>
      <c r="G33">
        <v>112</v>
      </c>
      <c r="H33">
        <v>103.2</v>
      </c>
      <c r="I33">
        <v>110</v>
      </c>
      <c r="J33">
        <v>192.8</v>
      </c>
      <c r="K33">
        <v>106.3</v>
      </c>
      <c r="L33">
        <v>99.5</v>
      </c>
      <c r="M33">
        <v>110.3</v>
      </c>
      <c r="N33">
        <v>111.8</v>
      </c>
      <c r="O33">
        <v>117.1</v>
      </c>
      <c r="P33"/>
      <c r="Q33">
        <v>122.9</v>
      </c>
      <c r="R33">
        <v>114.1</v>
      </c>
      <c r="S33">
        <v>113.5</v>
      </c>
      <c r="T33">
        <v>110.3</v>
      </c>
      <c r="U33">
        <v>113</v>
      </c>
      <c r="V33">
        <v>111.1</v>
      </c>
      <c r="W33">
        <v>110</v>
      </c>
      <c r="X33">
        <v>110.9</v>
      </c>
      <c r="Y33">
        <v>108.6</v>
      </c>
      <c r="Z33">
        <v>109.5</v>
      </c>
      <c r="AA33">
        <v>108.5</v>
      </c>
      <c r="AB33">
        <v>111.3</v>
      </c>
      <c r="AC33">
        <v>107.9</v>
      </c>
      <c r="AD33">
        <v>109.6</v>
      </c>
      <c r="AE33">
        <v>115</v>
      </c>
    </row>
    <row r="34" spans="1:31" hidden="1" x14ac:dyDescent="0.3">
      <c r="A34" t="s">
        <v>34</v>
      </c>
      <c r="B34">
        <v>2013</v>
      </c>
      <c r="C34" t="s">
        <v>45</v>
      </c>
      <c r="D34">
        <v>118.1</v>
      </c>
      <c r="E34">
        <v>115.4</v>
      </c>
      <c r="F34">
        <v>118.7</v>
      </c>
      <c r="G34">
        <v>112.5</v>
      </c>
      <c r="H34">
        <v>106.8</v>
      </c>
      <c r="I34">
        <v>113.5</v>
      </c>
      <c r="J34">
        <v>183.1</v>
      </c>
      <c r="K34">
        <v>108.2</v>
      </c>
      <c r="L34">
        <v>102.2</v>
      </c>
      <c r="M34">
        <v>109.4</v>
      </c>
      <c r="N34">
        <v>111.8</v>
      </c>
      <c r="O34">
        <v>116.5</v>
      </c>
      <c r="P34"/>
      <c r="Q34">
        <v>122.6</v>
      </c>
      <c r="R34">
        <v>113.1</v>
      </c>
      <c r="S34">
        <v>114.2</v>
      </c>
      <c r="T34">
        <v>111.9</v>
      </c>
      <c r="U34">
        <v>113.8</v>
      </c>
      <c r="V34">
        <v>111.1</v>
      </c>
      <c r="W34">
        <v>111.6</v>
      </c>
      <c r="X34">
        <v>111.1</v>
      </c>
      <c r="Y34">
        <v>109.3</v>
      </c>
      <c r="Z34">
        <v>109.5</v>
      </c>
      <c r="AA34">
        <v>108.6</v>
      </c>
      <c r="AB34">
        <v>111.2</v>
      </c>
      <c r="AC34">
        <v>108.1</v>
      </c>
      <c r="AD34">
        <v>109.7</v>
      </c>
      <c r="AE34">
        <v>116.3</v>
      </c>
    </row>
    <row r="35" spans="1:31"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c r="Q35">
        <v>118.7</v>
      </c>
      <c r="R35">
        <v>113.6</v>
      </c>
      <c r="S35">
        <v>115.8</v>
      </c>
      <c r="T35">
        <v>114</v>
      </c>
      <c r="U35">
        <v>115.5</v>
      </c>
      <c r="V35" t="s">
        <v>32</v>
      </c>
      <c r="W35">
        <v>112.8</v>
      </c>
      <c r="X35">
        <v>112.1</v>
      </c>
      <c r="Y35">
        <v>110.1</v>
      </c>
      <c r="Z35">
        <v>109.9</v>
      </c>
      <c r="AA35">
        <v>109.2</v>
      </c>
      <c r="AB35">
        <v>111.6</v>
      </c>
      <c r="AC35">
        <v>108.1</v>
      </c>
      <c r="AD35">
        <v>110.1</v>
      </c>
      <c r="AE35">
        <v>115.5</v>
      </c>
    </row>
    <row r="36" spans="1:31"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c r="Q36">
        <v>117.8</v>
      </c>
      <c r="R36">
        <v>115</v>
      </c>
      <c r="S36">
        <v>114.2</v>
      </c>
      <c r="T36">
        <v>110.9</v>
      </c>
      <c r="U36">
        <v>113.7</v>
      </c>
      <c r="V36">
        <v>110.7</v>
      </c>
      <c r="W36">
        <v>110.4</v>
      </c>
      <c r="X36">
        <v>111.3</v>
      </c>
      <c r="Y36">
        <v>109</v>
      </c>
      <c r="Z36">
        <v>109.7</v>
      </c>
      <c r="AA36">
        <v>108.9</v>
      </c>
      <c r="AB36">
        <v>111.4</v>
      </c>
      <c r="AC36">
        <v>107.7</v>
      </c>
      <c r="AD36">
        <v>109.8</v>
      </c>
      <c r="AE36">
        <v>113.3</v>
      </c>
    </row>
    <row r="37" spans="1:31" hidden="1" x14ac:dyDescent="0.3">
      <c r="A37" t="s">
        <v>34</v>
      </c>
      <c r="B37">
        <v>2013</v>
      </c>
      <c r="C37" t="s">
        <v>46</v>
      </c>
      <c r="D37">
        <v>119.1</v>
      </c>
      <c r="E37">
        <v>116.7</v>
      </c>
      <c r="F37">
        <v>123.5</v>
      </c>
      <c r="G37">
        <v>113.4</v>
      </c>
      <c r="H37">
        <v>107.3</v>
      </c>
      <c r="I37">
        <v>113.3</v>
      </c>
      <c r="J37">
        <v>145.4</v>
      </c>
      <c r="K37">
        <v>108.7</v>
      </c>
      <c r="L37">
        <v>101.5</v>
      </c>
      <c r="M37">
        <v>110.5</v>
      </c>
      <c r="N37">
        <v>112.1</v>
      </c>
      <c r="O37">
        <v>117.4</v>
      </c>
      <c r="P37"/>
      <c r="Q37">
        <v>118.4</v>
      </c>
      <c r="R37">
        <v>114</v>
      </c>
      <c r="S37">
        <v>115.2</v>
      </c>
      <c r="T37">
        <v>112.7</v>
      </c>
      <c r="U37">
        <v>114.8</v>
      </c>
      <c r="V37">
        <v>110.7</v>
      </c>
      <c r="W37">
        <v>111.9</v>
      </c>
      <c r="X37">
        <v>111.7</v>
      </c>
      <c r="Y37">
        <v>109.7</v>
      </c>
      <c r="Z37">
        <v>109.8</v>
      </c>
      <c r="AA37">
        <v>109</v>
      </c>
      <c r="AB37">
        <v>111.5</v>
      </c>
      <c r="AC37">
        <v>107.9</v>
      </c>
      <c r="AD37">
        <v>110</v>
      </c>
      <c r="AE37">
        <v>114.5</v>
      </c>
    </row>
    <row r="38" spans="1:31" hidden="1" x14ac:dyDescent="0.3">
      <c r="A38" t="s">
        <v>30</v>
      </c>
      <c r="B38">
        <v>2014</v>
      </c>
      <c r="C38" t="s">
        <v>31</v>
      </c>
      <c r="D38">
        <v>118.9</v>
      </c>
      <c r="E38">
        <v>117.1</v>
      </c>
      <c r="F38">
        <v>120.5</v>
      </c>
      <c r="G38">
        <v>114.4</v>
      </c>
      <c r="H38">
        <v>109</v>
      </c>
      <c r="I38">
        <v>115.5</v>
      </c>
      <c r="J38">
        <v>123.9</v>
      </c>
      <c r="K38">
        <v>109.6</v>
      </c>
      <c r="L38">
        <v>101.8</v>
      </c>
      <c r="M38">
        <v>110.2</v>
      </c>
      <c r="N38">
        <v>112.4</v>
      </c>
      <c r="O38">
        <v>117.3</v>
      </c>
      <c r="P38"/>
      <c r="Q38">
        <v>116</v>
      </c>
      <c r="R38">
        <v>114</v>
      </c>
      <c r="S38">
        <v>116.5</v>
      </c>
      <c r="T38">
        <v>114.5</v>
      </c>
      <c r="U38">
        <v>116.2</v>
      </c>
      <c r="V38" t="s">
        <v>32</v>
      </c>
      <c r="W38">
        <v>113</v>
      </c>
      <c r="X38">
        <v>112.6</v>
      </c>
      <c r="Y38">
        <v>110.6</v>
      </c>
      <c r="Z38">
        <v>110.5</v>
      </c>
      <c r="AA38">
        <v>109.6</v>
      </c>
      <c r="AB38">
        <v>111.8</v>
      </c>
      <c r="AC38">
        <v>108.3</v>
      </c>
      <c r="AD38">
        <v>110.6</v>
      </c>
      <c r="AE38">
        <v>114.2</v>
      </c>
    </row>
    <row r="39" spans="1:31" hidden="1" x14ac:dyDescent="0.3">
      <c r="A39" t="s">
        <v>33</v>
      </c>
      <c r="B39">
        <v>2014</v>
      </c>
      <c r="C39" t="s">
        <v>31</v>
      </c>
      <c r="D39">
        <v>121.2</v>
      </c>
      <c r="E39">
        <v>122</v>
      </c>
      <c r="F39">
        <v>129.9</v>
      </c>
      <c r="G39">
        <v>113.6</v>
      </c>
      <c r="H39">
        <v>102.9</v>
      </c>
      <c r="I39">
        <v>112.1</v>
      </c>
      <c r="J39">
        <v>118.9</v>
      </c>
      <c r="K39">
        <v>107.5</v>
      </c>
      <c r="L39">
        <v>96.9</v>
      </c>
      <c r="M39">
        <v>112.7</v>
      </c>
      <c r="N39">
        <v>112.1</v>
      </c>
      <c r="O39">
        <v>119</v>
      </c>
      <c r="P39"/>
      <c r="Q39">
        <v>115.5</v>
      </c>
      <c r="R39">
        <v>115.7</v>
      </c>
      <c r="S39">
        <v>114.8</v>
      </c>
      <c r="T39">
        <v>111.3</v>
      </c>
      <c r="U39">
        <v>114.3</v>
      </c>
      <c r="V39">
        <v>111.6</v>
      </c>
      <c r="W39">
        <v>111</v>
      </c>
      <c r="X39">
        <v>111.9</v>
      </c>
      <c r="Y39">
        <v>109.7</v>
      </c>
      <c r="Z39">
        <v>110.8</v>
      </c>
      <c r="AA39">
        <v>109.8</v>
      </c>
      <c r="AB39">
        <v>111.5</v>
      </c>
      <c r="AC39">
        <v>108</v>
      </c>
      <c r="AD39">
        <v>110.5</v>
      </c>
      <c r="AE39">
        <v>112.9</v>
      </c>
    </row>
    <row r="40" spans="1:31" hidden="1" x14ac:dyDescent="0.3">
      <c r="A40" t="s">
        <v>34</v>
      </c>
      <c r="B40">
        <v>2014</v>
      </c>
      <c r="C40" t="s">
        <v>31</v>
      </c>
      <c r="D40">
        <v>119.6</v>
      </c>
      <c r="E40">
        <v>118.8</v>
      </c>
      <c r="F40">
        <v>124.1</v>
      </c>
      <c r="G40">
        <v>114.1</v>
      </c>
      <c r="H40">
        <v>106.8</v>
      </c>
      <c r="I40">
        <v>113.9</v>
      </c>
      <c r="J40">
        <v>122.2</v>
      </c>
      <c r="K40">
        <v>108.9</v>
      </c>
      <c r="L40">
        <v>100.2</v>
      </c>
      <c r="M40">
        <v>111</v>
      </c>
      <c r="N40">
        <v>112.3</v>
      </c>
      <c r="O40">
        <v>118.1</v>
      </c>
      <c r="P40"/>
      <c r="Q40">
        <v>115.8</v>
      </c>
      <c r="R40">
        <v>114.5</v>
      </c>
      <c r="S40">
        <v>115.8</v>
      </c>
      <c r="T40">
        <v>113.2</v>
      </c>
      <c r="U40">
        <v>115.4</v>
      </c>
      <c r="V40">
        <v>111.6</v>
      </c>
      <c r="W40">
        <v>112.2</v>
      </c>
      <c r="X40">
        <v>112.3</v>
      </c>
      <c r="Y40">
        <v>110.3</v>
      </c>
      <c r="Z40">
        <v>110.7</v>
      </c>
      <c r="AA40">
        <v>109.7</v>
      </c>
      <c r="AB40">
        <v>111.6</v>
      </c>
      <c r="AC40">
        <v>108.2</v>
      </c>
      <c r="AD40">
        <v>110.6</v>
      </c>
      <c r="AE40">
        <v>113.6</v>
      </c>
    </row>
    <row r="41" spans="1:31" hidden="1" x14ac:dyDescent="0.3">
      <c r="A41" t="s">
        <v>30</v>
      </c>
      <c r="B41">
        <v>2014</v>
      </c>
      <c r="C41" t="s">
        <v>35</v>
      </c>
      <c r="D41">
        <v>119.4</v>
      </c>
      <c r="E41">
        <v>117.7</v>
      </c>
      <c r="F41">
        <v>121.2</v>
      </c>
      <c r="G41">
        <v>115</v>
      </c>
      <c r="H41">
        <v>109</v>
      </c>
      <c r="I41">
        <v>116.6</v>
      </c>
      <c r="J41">
        <v>116</v>
      </c>
      <c r="K41">
        <v>109.8</v>
      </c>
      <c r="L41">
        <v>101.1</v>
      </c>
      <c r="M41">
        <v>110.4</v>
      </c>
      <c r="N41">
        <v>112.9</v>
      </c>
      <c r="O41">
        <v>117.8</v>
      </c>
      <c r="P41"/>
      <c r="Q41">
        <v>115.3</v>
      </c>
      <c r="R41">
        <v>114.2</v>
      </c>
      <c r="S41">
        <v>117.1</v>
      </c>
      <c r="T41">
        <v>114.5</v>
      </c>
      <c r="U41">
        <v>116.7</v>
      </c>
      <c r="V41" t="s">
        <v>32</v>
      </c>
      <c r="W41">
        <v>113.2</v>
      </c>
      <c r="X41">
        <v>112.9</v>
      </c>
      <c r="Y41">
        <v>110.9</v>
      </c>
      <c r="Z41">
        <v>110.8</v>
      </c>
      <c r="AA41">
        <v>109.9</v>
      </c>
      <c r="AB41">
        <v>112</v>
      </c>
      <c r="AC41">
        <v>108.7</v>
      </c>
      <c r="AD41">
        <v>110.9</v>
      </c>
      <c r="AE41">
        <v>114</v>
      </c>
    </row>
    <row r="42" spans="1:31" hidden="1" x14ac:dyDescent="0.3">
      <c r="A42" t="s">
        <v>33</v>
      </c>
      <c r="B42">
        <v>2014</v>
      </c>
      <c r="C42" t="s">
        <v>35</v>
      </c>
      <c r="D42">
        <v>121.9</v>
      </c>
      <c r="E42">
        <v>122</v>
      </c>
      <c r="F42">
        <v>124.5</v>
      </c>
      <c r="G42">
        <v>115.2</v>
      </c>
      <c r="H42">
        <v>102.5</v>
      </c>
      <c r="I42">
        <v>114.1</v>
      </c>
      <c r="J42">
        <v>111.5</v>
      </c>
      <c r="K42">
        <v>108.2</v>
      </c>
      <c r="L42">
        <v>95.4</v>
      </c>
      <c r="M42">
        <v>113.5</v>
      </c>
      <c r="N42">
        <v>112.1</v>
      </c>
      <c r="O42">
        <v>119.9</v>
      </c>
      <c r="P42"/>
      <c r="Q42">
        <v>115.2</v>
      </c>
      <c r="R42">
        <v>116.2</v>
      </c>
      <c r="S42">
        <v>115.3</v>
      </c>
      <c r="T42">
        <v>111.7</v>
      </c>
      <c r="U42">
        <v>114.7</v>
      </c>
      <c r="V42">
        <v>112.5</v>
      </c>
      <c r="W42">
        <v>111.1</v>
      </c>
      <c r="X42">
        <v>112.6</v>
      </c>
      <c r="Y42">
        <v>110.4</v>
      </c>
      <c r="Z42">
        <v>111.3</v>
      </c>
      <c r="AA42">
        <v>110.3</v>
      </c>
      <c r="AB42">
        <v>111.6</v>
      </c>
      <c r="AC42">
        <v>108.7</v>
      </c>
      <c r="AD42">
        <v>111</v>
      </c>
      <c r="AE42">
        <v>113.1</v>
      </c>
    </row>
    <row r="43" spans="1:31" hidden="1" x14ac:dyDescent="0.3">
      <c r="A43" t="s">
        <v>34</v>
      </c>
      <c r="B43">
        <v>2014</v>
      </c>
      <c r="C43" t="s">
        <v>35</v>
      </c>
      <c r="D43">
        <v>120.2</v>
      </c>
      <c r="E43">
        <v>119.2</v>
      </c>
      <c r="F43">
        <v>122.5</v>
      </c>
      <c r="G43">
        <v>115.1</v>
      </c>
      <c r="H43">
        <v>106.6</v>
      </c>
      <c r="I43">
        <v>115.4</v>
      </c>
      <c r="J43">
        <v>114.5</v>
      </c>
      <c r="K43">
        <v>109.3</v>
      </c>
      <c r="L43">
        <v>99.2</v>
      </c>
      <c r="M43">
        <v>111.4</v>
      </c>
      <c r="N43">
        <v>112.6</v>
      </c>
      <c r="O43">
        <v>118.8</v>
      </c>
      <c r="P43"/>
      <c r="Q43">
        <v>115.3</v>
      </c>
      <c r="R43">
        <v>114.7</v>
      </c>
      <c r="S43">
        <v>116.4</v>
      </c>
      <c r="T43">
        <v>113.3</v>
      </c>
      <c r="U43">
        <v>115.9</v>
      </c>
      <c r="V43">
        <v>112.5</v>
      </c>
      <c r="W43">
        <v>112.4</v>
      </c>
      <c r="X43">
        <v>112.8</v>
      </c>
      <c r="Y43">
        <v>110.7</v>
      </c>
      <c r="Z43">
        <v>111.1</v>
      </c>
      <c r="AA43">
        <v>110.1</v>
      </c>
      <c r="AB43">
        <v>111.8</v>
      </c>
      <c r="AC43">
        <v>108.7</v>
      </c>
      <c r="AD43">
        <v>110.9</v>
      </c>
      <c r="AE43">
        <v>113.6</v>
      </c>
    </row>
    <row r="44" spans="1:31" hidden="1" x14ac:dyDescent="0.3">
      <c r="A44" t="s">
        <v>30</v>
      </c>
      <c r="B44">
        <v>2014</v>
      </c>
      <c r="C44" t="s">
        <v>36</v>
      </c>
      <c r="D44">
        <v>120.1</v>
      </c>
      <c r="E44">
        <v>118.1</v>
      </c>
      <c r="F44">
        <v>120.7</v>
      </c>
      <c r="G44">
        <v>116.1</v>
      </c>
      <c r="H44">
        <v>109.3</v>
      </c>
      <c r="I44">
        <v>119.6</v>
      </c>
      <c r="J44">
        <v>117.9</v>
      </c>
      <c r="K44">
        <v>110.2</v>
      </c>
      <c r="L44">
        <v>101.2</v>
      </c>
      <c r="M44">
        <v>110.7</v>
      </c>
      <c r="N44">
        <v>113</v>
      </c>
      <c r="O44">
        <v>118.3</v>
      </c>
      <c r="P44"/>
      <c r="Q44">
        <v>116.2</v>
      </c>
      <c r="R44">
        <v>114.6</v>
      </c>
      <c r="S44">
        <v>117.5</v>
      </c>
      <c r="T44">
        <v>114.9</v>
      </c>
      <c r="U44">
        <v>117.2</v>
      </c>
      <c r="V44" t="s">
        <v>32</v>
      </c>
      <c r="W44">
        <v>113.4</v>
      </c>
      <c r="X44">
        <v>113.4</v>
      </c>
      <c r="Y44">
        <v>111.4</v>
      </c>
      <c r="Z44">
        <v>111.2</v>
      </c>
      <c r="AA44">
        <v>110.2</v>
      </c>
      <c r="AB44">
        <v>112.4</v>
      </c>
      <c r="AC44">
        <v>108.9</v>
      </c>
      <c r="AD44">
        <v>111.3</v>
      </c>
      <c r="AE44">
        <v>114.6</v>
      </c>
    </row>
    <row r="45" spans="1:31" hidden="1" x14ac:dyDescent="0.3">
      <c r="A45" t="s">
        <v>33</v>
      </c>
      <c r="B45">
        <v>2014</v>
      </c>
      <c r="C45" t="s">
        <v>36</v>
      </c>
      <c r="D45">
        <v>122.1</v>
      </c>
      <c r="E45">
        <v>121.4</v>
      </c>
      <c r="F45">
        <v>121.5</v>
      </c>
      <c r="G45">
        <v>116.2</v>
      </c>
      <c r="H45">
        <v>102.8</v>
      </c>
      <c r="I45">
        <v>117.7</v>
      </c>
      <c r="J45">
        <v>113.3</v>
      </c>
      <c r="K45">
        <v>108.9</v>
      </c>
      <c r="L45">
        <v>96.3</v>
      </c>
      <c r="M45">
        <v>114.1</v>
      </c>
      <c r="N45">
        <v>112.2</v>
      </c>
      <c r="O45">
        <v>120.5</v>
      </c>
      <c r="P45"/>
      <c r="Q45">
        <v>116</v>
      </c>
      <c r="R45">
        <v>116.7</v>
      </c>
      <c r="S45">
        <v>115.8</v>
      </c>
      <c r="T45">
        <v>112.1</v>
      </c>
      <c r="U45">
        <v>115.2</v>
      </c>
      <c r="V45">
        <v>113.2</v>
      </c>
      <c r="W45">
        <v>110.9</v>
      </c>
      <c r="X45">
        <v>113</v>
      </c>
      <c r="Y45">
        <v>110.8</v>
      </c>
      <c r="Z45">
        <v>111.6</v>
      </c>
      <c r="AA45">
        <v>110.9</v>
      </c>
      <c r="AB45">
        <v>111.8</v>
      </c>
      <c r="AC45">
        <v>109.2</v>
      </c>
      <c r="AD45">
        <v>111.4</v>
      </c>
      <c r="AE45">
        <v>113.7</v>
      </c>
    </row>
    <row r="46" spans="1:31" hidden="1" x14ac:dyDescent="0.3">
      <c r="A46" t="s">
        <v>34</v>
      </c>
      <c r="B46">
        <v>2014</v>
      </c>
      <c r="C46" t="s">
        <v>47</v>
      </c>
      <c r="D46">
        <v>120.7</v>
      </c>
      <c r="E46">
        <v>119.3</v>
      </c>
      <c r="F46">
        <v>121</v>
      </c>
      <c r="G46">
        <v>116.1</v>
      </c>
      <c r="H46">
        <v>106.9</v>
      </c>
      <c r="I46">
        <v>118.7</v>
      </c>
      <c r="J46">
        <v>116.3</v>
      </c>
      <c r="K46">
        <v>109.8</v>
      </c>
      <c r="L46">
        <v>99.6</v>
      </c>
      <c r="M46">
        <v>111.8</v>
      </c>
      <c r="N46">
        <v>112.7</v>
      </c>
      <c r="O46">
        <v>119.3</v>
      </c>
      <c r="P46"/>
      <c r="Q46">
        <v>116.1</v>
      </c>
      <c r="R46">
        <v>115.2</v>
      </c>
      <c r="S46">
        <v>116.8</v>
      </c>
      <c r="T46">
        <v>113.7</v>
      </c>
      <c r="U46">
        <v>116.4</v>
      </c>
      <c r="V46">
        <v>113.2</v>
      </c>
      <c r="W46">
        <v>112.5</v>
      </c>
      <c r="X46">
        <v>113.2</v>
      </c>
      <c r="Y46">
        <v>111.2</v>
      </c>
      <c r="Z46">
        <v>111.4</v>
      </c>
      <c r="AA46">
        <v>110.6</v>
      </c>
      <c r="AB46">
        <v>112</v>
      </c>
      <c r="AC46">
        <v>109</v>
      </c>
      <c r="AD46">
        <v>111.3</v>
      </c>
      <c r="AE46">
        <v>114.2</v>
      </c>
    </row>
    <row r="47" spans="1:31" hidden="1" x14ac:dyDescent="0.3">
      <c r="A47" t="s">
        <v>30</v>
      </c>
      <c r="B47">
        <v>2014</v>
      </c>
      <c r="C47" t="s">
        <v>37</v>
      </c>
      <c r="D47">
        <v>120.2</v>
      </c>
      <c r="E47">
        <v>118.9</v>
      </c>
      <c r="F47">
        <v>118.1</v>
      </c>
      <c r="G47">
        <v>117</v>
      </c>
      <c r="H47">
        <v>109.7</v>
      </c>
      <c r="I47">
        <v>125.5</v>
      </c>
      <c r="J47">
        <v>120.5</v>
      </c>
      <c r="K47">
        <v>111</v>
      </c>
      <c r="L47">
        <v>102.6</v>
      </c>
      <c r="M47">
        <v>111.2</v>
      </c>
      <c r="N47">
        <v>113.5</v>
      </c>
      <c r="O47">
        <v>118.7</v>
      </c>
      <c r="P47"/>
      <c r="Q47">
        <v>117.2</v>
      </c>
      <c r="R47">
        <v>115.4</v>
      </c>
      <c r="S47">
        <v>118.1</v>
      </c>
      <c r="T47">
        <v>116.1</v>
      </c>
      <c r="U47">
        <v>117.8</v>
      </c>
      <c r="V47" t="s">
        <v>32</v>
      </c>
      <c r="W47">
        <v>113.4</v>
      </c>
      <c r="X47">
        <v>113.7</v>
      </c>
      <c r="Y47">
        <v>111.8</v>
      </c>
      <c r="Z47">
        <v>111.2</v>
      </c>
      <c r="AA47">
        <v>110.5</v>
      </c>
      <c r="AB47">
        <v>113</v>
      </c>
      <c r="AC47">
        <v>108.9</v>
      </c>
      <c r="AD47">
        <v>111.5</v>
      </c>
      <c r="AE47">
        <v>115.4</v>
      </c>
    </row>
    <row r="48" spans="1:31" hidden="1" x14ac:dyDescent="0.3">
      <c r="A48" t="s">
        <v>33</v>
      </c>
      <c r="B48">
        <v>2014</v>
      </c>
      <c r="C48" t="s">
        <v>37</v>
      </c>
      <c r="D48">
        <v>122.5</v>
      </c>
      <c r="E48">
        <v>121.7</v>
      </c>
      <c r="F48">
        <v>113.3</v>
      </c>
      <c r="G48">
        <v>117</v>
      </c>
      <c r="H48">
        <v>103.1</v>
      </c>
      <c r="I48">
        <v>126.7</v>
      </c>
      <c r="J48">
        <v>121.2</v>
      </c>
      <c r="K48">
        <v>111</v>
      </c>
      <c r="L48">
        <v>100.3</v>
      </c>
      <c r="M48">
        <v>115.3</v>
      </c>
      <c r="N48">
        <v>112.7</v>
      </c>
      <c r="O48">
        <v>121</v>
      </c>
      <c r="P48"/>
      <c r="Q48">
        <v>118.2</v>
      </c>
      <c r="R48">
        <v>117.6</v>
      </c>
      <c r="S48">
        <v>116.3</v>
      </c>
      <c r="T48">
        <v>112.5</v>
      </c>
      <c r="U48">
        <v>115.7</v>
      </c>
      <c r="V48">
        <v>113.9</v>
      </c>
      <c r="W48">
        <v>110.9</v>
      </c>
      <c r="X48">
        <v>113.4</v>
      </c>
      <c r="Y48">
        <v>111</v>
      </c>
      <c r="Z48">
        <v>111.2</v>
      </c>
      <c r="AA48">
        <v>111.2</v>
      </c>
      <c r="AB48">
        <v>112.5</v>
      </c>
      <c r="AC48">
        <v>109.1</v>
      </c>
      <c r="AD48">
        <v>111.4</v>
      </c>
      <c r="AE48">
        <v>114.7</v>
      </c>
    </row>
    <row r="49" spans="1:31" hidden="1" x14ac:dyDescent="0.3">
      <c r="A49" t="s">
        <v>34</v>
      </c>
      <c r="B49">
        <v>2014</v>
      </c>
      <c r="C49" t="s">
        <v>37</v>
      </c>
      <c r="D49">
        <v>120.9</v>
      </c>
      <c r="E49">
        <v>119.9</v>
      </c>
      <c r="F49">
        <v>116.2</v>
      </c>
      <c r="G49">
        <v>117</v>
      </c>
      <c r="H49">
        <v>107.3</v>
      </c>
      <c r="I49">
        <v>126.1</v>
      </c>
      <c r="J49">
        <v>120.7</v>
      </c>
      <c r="K49">
        <v>111</v>
      </c>
      <c r="L49">
        <v>101.8</v>
      </c>
      <c r="M49">
        <v>112.6</v>
      </c>
      <c r="N49">
        <v>113.2</v>
      </c>
      <c r="O49">
        <v>119.8</v>
      </c>
      <c r="P49"/>
      <c r="Q49">
        <v>117.6</v>
      </c>
      <c r="R49">
        <v>116</v>
      </c>
      <c r="S49">
        <v>117.4</v>
      </c>
      <c r="T49">
        <v>114.6</v>
      </c>
      <c r="U49">
        <v>117</v>
      </c>
      <c r="V49">
        <v>113.9</v>
      </c>
      <c r="W49">
        <v>112.5</v>
      </c>
      <c r="X49">
        <v>113.6</v>
      </c>
      <c r="Y49">
        <v>111.5</v>
      </c>
      <c r="Z49">
        <v>111.2</v>
      </c>
      <c r="AA49">
        <v>110.9</v>
      </c>
      <c r="AB49">
        <v>112.7</v>
      </c>
      <c r="AC49">
        <v>109</v>
      </c>
      <c r="AD49">
        <v>111.5</v>
      </c>
      <c r="AE49">
        <v>115.1</v>
      </c>
    </row>
    <row r="50" spans="1:31" hidden="1" x14ac:dyDescent="0.3">
      <c r="A50" t="s">
        <v>30</v>
      </c>
      <c r="B50">
        <v>2014</v>
      </c>
      <c r="C50" t="s">
        <v>38</v>
      </c>
      <c r="D50">
        <v>120.3</v>
      </c>
      <c r="E50">
        <v>120.2</v>
      </c>
      <c r="F50">
        <v>116.9</v>
      </c>
      <c r="G50">
        <v>118</v>
      </c>
      <c r="H50">
        <v>110.1</v>
      </c>
      <c r="I50">
        <v>126.3</v>
      </c>
      <c r="J50">
        <v>123.9</v>
      </c>
      <c r="K50">
        <v>111.5</v>
      </c>
      <c r="L50">
        <v>103.5</v>
      </c>
      <c r="M50">
        <v>111.6</v>
      </c>
      <c r="N50">
        <v>114.2</v>
      </c>
      <c r="O50">
        <v>119.2</v>
      </c>
      <c r="P50"/>
      <c r="Q50">
        <v>118.2</v>
      </c>
      <c r="R50">
        <v>116.3</v>
      </c>
      <c r="S50">
        <v>118.7</v>
      </c>
      <c r="T50">
        <v>116.8</v>
      </c>
      <c r="U50">
        <v>118.5</v>
      </c>
      <c r="V50" t="s">
        <v>32</v>
      </c>
      <c r="W50">
        <v>113.4</v>
      </c>
      <c r="X50">
        <v>114.1</v>
      </c>
      <c r="Y50">
        <v>112.1</v>
      </c>
      <c r="Z50">
        <v>111.4</v>
      </c>
      <c r="AA50">
        <v>110.9</v>
      </c>
      <c r="AB50">
        <v>113.1</v>
      </c>
      <c r="AC50">
        <v>108.9</v>
      </c>
      <c r="AD50">
        <v>111.8</v>
      </c>
      <c r="AE50">
        <v>116</v>
      </c>
    </row>
    <row r="51" spans="1:31"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P51"/>
      <c r="Q51">
        <v>120</v>
      </c>
      <c r="R51">
        <v>118.3</v>
      </c>
      <c r="S51">
        <v>116.8</v>
      </c>
      <c r="T51">
        <v>112.9</v>
      </c>
      <c r="U51">
        <v>116.2</v>
      </c>
      <c r="V51">
        <v>114.3</v>
      </c>
      <c r="W51">
        <v>111.1</v>
      </c>
      <c r="X51">
        <v>114.1</v>
      </c>
      <c r="Y51">
        <v>111.2</v>
      </c>
      <c r="Z51">
        <v>111.3</v>
      </c>
      <c r="AA51">
        <v>111.5</v>
      </c>
      <c r="AB51">
        <v>112.9</v>
      </c>
      <c r="AC51">
        <v>109.3</v>
      </c>
      <c r="AD51">
        <v>111.7</v>
      </c>
      <c r="AE51">
        <v>115.6</v>
      </c>
    </row>
    <row r="52" spans="1:31" hidden="1" x14ac:dyDescent="0.3">
      <c r="A52" t="s">
        <v>34</v>
      </c>
      <c r="B52">
        <v>2014</v>
      </c>
      <c r="C52" t="s">
        <v>38</v>
      </c>
      <c r="D52">
        <v>121.1</v>
      </c>
      <c r="E52">
        <v>121.6</v>
      </c>
      <c r="F52">
        <v>115.9</v>
      </c>
      <c r="G52">
        <v>118.4</v>
      </c>
      <c r="H52">
        <v>107.7</v>
      </c>
      <c r="I52">
        <v>127.7</v>
      </c>
      <c r="J52">
        <v>125</v>
      </c>
      <c r="K52">
        <v>111.9</v>
      </c>
      <c r="L52">
        <v>102.8</v>
      </c>
      <c r="M52">
        <v>113.4</v>
      </c>
      <c r="N52">
        <v>113.7</v>
      </c>
      <c r="O52">
        <v>120.4</v>
      </c>
      <c r="P52"/>
      <c r="Q52">
        <v>118.9</v>
      </c>
      <c r="R52">
        <v>116.8</v>
      </c>
      <c r="S52">
        <v>118</v>
      </c>
      <c r="T52">
        <v>115.2</v>
      </c>
      <c r="U52">
        <v>117.6</v>
      </c>
      <c r="V52">
        <v>114.3</v>
      </c>
      <c r="W52">
        <v>112.5</v>
      </c>
      <c r="X52">
        <v>114.1</v>
      </c>
      <c r="Y52">
        <v>111.8</v>
      </c>
      <c r="Z52">
        <v>111.3</v>
      </c>
      <c r="AA52">
        <v>111.2</v>
      </c>
      <c r="AB52">
        <v>113</v>
      </c>
      <c r="AC52">
        <v>109.1</v>
      </c>
      <c r="AD52">
        <v>111.8</v>
      </c>
      <c r="AE52">
        <v>115.8</v>
      </c>
    </row>
    <row r="53" spans="1:31"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c r="Q53">
        <v>119.5</v>
      </c>
      <c r="R53">
        <v>117.3</v>
      </c>
      <c r="S53">
        <v>119.7</v>
      </c>
      <c r="T53">
        <v>117.3</v>
      </c>
      <c r="U53">
        <v>119.3</v>
      </c>
      <c r="V53" t="s">
        <v>32</v>
      </c>
      <c r="W53">
        <v>114.4</v>
      </c>
      <c r="X53">
        <v>114.9</v>
      </c>
      <c r="Y53">
        <v>112.8</v>
      </c>
      <c r="Z53">
        <v>112.2</v>
      </c>
      <c r="AA53">
        <v>111.4</v>
      </c>
      <c r="AB53">
        <v>114.3</v>
      </c>
      <c r="AC53">
        <v>108</v>
      </c>
      <c r="AD53">
        <v>112.3</v>
      </c>
      <c r="AE53">
        <v>117</v>
      </c>
    </row>
    <row r="54" spans="1:31"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c r="Q54">
        <v>122</v>
      </c>
      <c r="R54">
        <v>119</v>
      </c>
      <c r="S54">
        <v>117.4</v>
      </c>
      <c r="T54">
        <v>113.2</v>
      </c>
      <c r="U54">
        <v>116.7</v>
      </c>
      <c r="V54">
        <v>113.9</v>
      </c>
      <c r="W54">
        <v>111.2</v>
      </c>
      <c r="X54">
        <v>114.3</v>
      </c>
      <c r="Y54">
        <v>111.4</v>
      </c>
      <c r="Z54">
        <v>111.5</v>
      </c>
      <c r="AA54">
        <v>111.8</v>
      </c>
      <c r="AB54">
        <v>115.1</v>
      </c>
      <c r="AC54">
        <v>108.7</v>
      </c>
      <c r="AD54">
        <v>112.2</v>
      </c>
      <c r="AE54">
        <v>116.4</v>
      </c>
    </row>
    <row r="55" spans="1:31"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c r="Q55">
        <v>120.4</v>
      </c>
      <c r="R55">
        <v>117.8</v>
      </c>
      <c r="S55">
        <v>118.8</v>
      </c>
      <c r="T55">
        <v>115.6</v>
      </c>
      <c r="U55">
        <v>118.3</v>
      </c>
      <c r="V55">
        <v>113.9</v>
      </c>
      <c r="W55">
        <v>113.2</v>
      </c>
      <c r="X55">
        <v>114.6</v>
      </c>
      <c r="Y55">
        <v>112.3</v>
      </c>
      <c r="Z55">
        <v>111.8</v>
      </c>
      <c r="AA55">
        <v>111.6</v>
      </c>
      <c r="AB55">
        <v>114.8</v>
      </c>
      <c r="AC55">
        <v>108.3</v>
      </c>
      <c r="AD55">
        <v>112.3</v>
      </c>
      <c r="AE55">
        <v>116.7</v>
      </c>
    </row>
    <row r="56" spans="1:31" hidden="1" x14ac:dyDescent="0.3">
      <c r="A56" t="s">
        <v>30</v>
      </c>
      <c r="B56">
        <v>2014</v>
      </c>
      <c r="C56" t="s">
        <v>40</v>
      </c>
      <c r="D56">
        <v>121.7</v>
      </c>
      <c r="E56">
        <v>122.5</v>
      </c>
      <c r="F56">
        <v>117.7</v>
      </c>
      <c r="G56">
        <v>120.6</v>
      </c>
      <c r="H56">
        <v>110.4</v>
      </c>
      <c r="I56">
        <v>129.1</v>
      </c>
      <c r="J56">
        <v>150.1</v>
      </c>
      <c r="K56">
        <v>113.2</v>
      </c>
      <c r="L56">
        <v>104.8</v>
      </c>
      <c r="M56">
        <v>113.3</v>
      </c>
      <c r="N56">
        <v>115.6</v>
      </c>
      <c r="O56">
        <v>120.9</v>
      </c>
      <c r="P56"/>
      <c r="Q56">
        <v>123.3</v>
      </c>
      <c r="R56">
        <v>118</v>
      </c>
      <c r="S56">
        <v>120.7</v>
      </c>
      <c r="T56">
        <v>118.3</v>
      </c>
      <c r="U56">
        <v>120.3</v>
      </c>
      <c r="V56" t="s">
        <v>32</v>
      </c>
      <c r="W56">
        <v>115.3</v>
      </c>
      <c r="X56">
        <v>115.4</v>
      </c>
      <c r="Y56">
        <v>113.4</v>
      </c>
      <c r="Z56">
        <v>113.2</v>
      </c>
      <c r="AA56">
        <v>111.8</v>
      </c>
      <c r="AB56">
        <v>115.5</v>
      </c>
      <c r="AC56">
        <v>108.8</v>
      </c>
      <c r="AD56">
        <v>113.1</v>
      </c>
      <c r="AE56">
        <v>119.5</v>
      </c>
    </row>
    <row r="57" spans="1:31"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P57"/>
      <c r="Q57">
        <v>127.1</v>
      </c>
      <c r="R57">
        <v>121</v>
      </c>
      <c r="S57">
        <v>118</v>
      </c>
      <c r="T57">
        <v>113.6</v>
      </c>
      <c r="U57">
        <v>117.4</v>
      </c>
      <c r="V57">
        <v>114.8</v>
      </c>
      <c r="W57">
        <v>111.6</v>
      </c>
      <c r="X57">
        <v>114.9</v>
      </c>
      <c r="Y57">
        <v>111.5</v>
      </c>
      <c r="Z57">
        <v>113</v>
      </c>
      <c r="AA57">
        <v>112.4</v>
      </c>
      <c r="AB57">
        <v>117.8</v>
      </c>
      <c r="AC57">
        <v>109.7</v>
      </c>
      <c r="AD57">
        <v>113.5</v>
      </c>
      <c r="AE57">
        <v>118.9</v>
      </c>
    </row>
    <row r="58" spans="1:31"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c r="Q58">
        <v>124.7</v>
      </c>
      <c r="R58">
        <v>118.8</v>
      </c>
      <c r="S58">
        <v>119.6</v>
      </c>
      <c r="T58">
        <v>116.3</v>
      </c>
      <c r="U58">
        <v>119.1</v>
      </c>
      <c r="V58">
        <v>114.8</v>
      </c>
      <c r="W58">
        <v>113.9</v>
      </c>
      <c r="X58">
        <v>115.2</v>
      </c>
      <c r="Y58">
        <v>112.7</v>
      </c>
      <c r="Z58">
        <v>113.1</v>
      </c>
      <c r="AA58">
        <v>112.1</v>
      </c>
      <c r="AB58">
        <v>116.8</v>
      </c>
      <c r="AC58">
        <v>109.2</v>
      </c>
      <c r="AD58">
        <v>113.3</v>
      </c>
      <c r="AE58">
        <v>119.2</v>
      </c>
    </row>
    <row r="59" spans="1:31"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c r="Q59">
        <v>125.3</v>
      </c>
      <c r="R59">
        <v>118.8</v>
      </c>
      <c r="S59">
        <v>120.9</v>
      </c>
      <c r="T59">
        <v>118.8</v>
      </c>
      <c r="U59">
        <v>120.7</v>
      </c>
      <c r="V59" t="s">
        <v>32</v>
      </c>
      <c r="W59">
        <v>115.4</v>
      </c>
      <c r="X59">
        <v>115.9</v>
      </c>
      <c r="Y59">
        <v>114</v>
      </c>
      <c r="Z59">
        <v>113.2</v>
      </c>
      <c r="AA59">
        <v>112.2</v>
      </c>
      <c r="AB59">
        <v>116.2</v>
      </c>
      <c r="AC59">
        <v>109.4</v>
      </c>
      <c r="AD59">
        <v>113.5</v>
      </c>
      <c r="AE59">
        <v>120.7</v>
      </c>
    </row>
    <row r="60" spans="1:31"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c r="Q60">
        <v>128.9</v>
      </c>
      <c r="R60">
        <v>123</v>
      </c>
      <c r="S60">
        <v>118.6</v>
      </c>
      <c r="T60">
        <v>114.1</v>
      </c>
      <c r="U60">
        <v>117.9</v>
      </c>
      <c r="V60">
        <v>115.5</v>
      </c>
      <c r="W60">
        <v>111.8</v>
      </c>
      <c r="X60">
        <v>115.3</v>
      </c>
      <c r="Y60">
        <v>112.2</v>
      </c>
      <c r="Z60">
        <v>112.5</v>
      </c>
      <c r="AA60">
        <v>112.9</v>
      </c>
      <c r="AB60">
        <v>119.2</v>
      </c>
      <c r="AC60">
        <v>110.5</v>
      </c>
      <c r="AD60">
        <v>113.9</v>
      </c>
      <c r="AE60">
        <v>119.9</v>
      </c>
    </row>
    <row r="61" spans="1:31" hidden="1" x14ac:dyDescent="0.3">
      <c r="A61" t="s">
        <v>34</v>
      </c>
      <c r="B61">
        <v>2014</v>
      </c>
      <c r="C61" t="s">
        <v>41</v>
      </c>
      <c r="D61">
        <v>122.7</v>
      </c>
      <c r="E61">
        <v>124.4</v>
      </c>
      <c r="F61">
        <v>117.3</v>
      </c>
      <c r="G61">
        <v>122</v>
      </c>
      <c r="H61">
        <v>108</v>
      </c>
      <c r="I61">
        <v>131.1</v>
      </c>
      <c r="J61">
        <v>168.2</v>
      </c>
      <c r="K61">
        <v>114.5</v>
      </c>
      <c r="L61">
        <v>104.3</v>
      </c>
      <c r="M61">
        <v>117.1</v>
      </c>
      <c r="N61">
        <v>115.2</v>
      </c>
      <c r="O61">
        <v>123.1</v>
      </c>
      <c r="P61"/>
      <c r="Q61">
        <v>126.6</v>
      </c>
      <c r="R61">
        <v>119.9</v>
      </c>
      <c r="S61">
        <v>120</v>
      </c>
      <c r="T61">
        <v>116.8</v>
      </c>
      <c r="U61">
        <v>119.6</v>
      </c>
      <c r="V61">
        <v>115.5</v>
      </c>
      <c r="W61">
        <v>114</v>
      </c>
      <c r="X61">
        <v>115.6</v>
      </c>
      <c r="Y61">
        <v>113.3</v>
      </c>
      <c r="Z61">
        <v>112.8</v>
      </c>
      <c r="AA61">
        <v>112.6</v>
      </c>
      <c r="AB61">
        <v>118</v>
      </c>
      <c r="AC61">
        <v>109.9</v>
      </c>
      <c r="AD61">
        <v>113.7</v>
      </c>
      <c r="AE61">
        <v>120.3</v>
      </c>
    </row>
    <row r="62" spans="1:31"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c r="Q62">
        <v>125.3</v>
      </c>
      <c r="R62">
        <v>119.5</v>
      </c>
      <c r="S62">
        <v>121.7</v>
      </c>
      <c r="T62">
        <v>119.2</v>
      </c>
      <c r="U62">
        <v>121.3</v>
      </c>
      <c r="V62" t="s">
        <v>32</v>
      </c>
      <c r="W62">
        <v>115.8</v>
      </c>
      <c r="X62">
        <v>116.7</v>
      </c>
      <c r="Y62">
        <v>114.5</v>
      </c>
      <c r="Z62">
        <v>112.8</v>
      </c>
      <c r="AA62">
        <v>112.6</v>
      </c>
      <c r="AB62">
        <v>116.6</v>
      </c>
      <c r="AC62">
        <v>109.1</v>
      </c>
      <c r="AD62">
        <v>113.7</v>
      </c>
      <c r="AE62">
        <v>120.9</v>
      </c>
    </row>
    <row r="63" spans="1:31" hidden="1" x14ac:dyDescent="0.3">
      <c r="A63" t="s">
        <v>33</v>
      </c>
      <c r="B63">
        <v>2014</v>
      </c>
      <c r="C63" t="s">
        <v>42</v>
      </c>
      <c r="D63">
        <v>124.2</v>
      </c>
      <c r="E63">
        <v>125.4</v>
      </c>
      <c r="F63">
        <v>116.4</v>
      </c>
      <c r="G63">
        <v>122.7</v>
      </c>
      <c r="H63">
        <v>103.5</v>
      </c>
      <c r="I63">
        <v>124.5</v>
      </c>
      <c r="J63">
        <v>168.6</v>
      </c>
      <c r="K63">
        <v>116.9</v>
      </c>
      <c r="L63">
        <v>101.9</v>
      </c>
      <c r="M63">
        <v>122.9</v>
      </c>
      <c r="N63">
        <v>114.8</v>
      </c>
      <c r="O63">
        <v>125.2</v>
      </c>
      <c r="P63"/>
      <c r="Q63">
        <v>126.7</v>
      </c>
      <c r="R63">
        <v>124.3</v>
      </c>
      <c r="S63">
        <v>119.2</v>
      </c>
      <c r="T63">
        <v>114.5</v>
      </c>
      <c r="U63">
        <v>118.4</v>
      </c>
      <c r="V63">
        <v>116.1</v>
      </c>
      <c r="W63">
        <v>111.8</v>
      </c>
      <c r="X63">
        <v>115.5</v>
      </c>
      <c r="Y63">
        <v>112.3</v>
      </c>
      <c r="Z63">
        <v>111.2</v>
      </c>
      <c r="AA63">
        <v>113.4</v>
      </c>
      <c r="AB63">
        <v>120</v>
      </c>
      <c r="AC63">
        <v>110</v>
      </c>
      <c r="AD63">
        <v>113.6</v>
      </c>
      <c r="AE63">
        <v>119.2</v>
      </c>
    </row>
    <row r="64" spans="1:31" hidden="1" x14ac:dyDescent="0.3">
      <c r="A64" t="s">
        <v>34</v>
      </c>
      <c r="B64">
        <v>2014</v>
      </c>
      <c r="C64" t="s">
        <v>42</v>
      </c>
      <c r="D64">
        <v>122.9</v>
      </c>
      <c r="E64">
        <v>123.5</v>
      </c>
      <c r="F64">
        <v>117.3</v>
      </c>
      <c r="G64">
        <v>122.7</v>
      </c>
      <c r="H64">
        <v>107.9</v>
      </c>
      <c r="I64">
        <v>127.3</v>
      </c>
      <c r="J64">
        <v>162.1</v>
      </c>
      <c r="K64">
        <v>115.6</v>
      </c>
      <c r="L64">
        <v>103.8</v>
      </c>
      <c r="M64">
        <v>117.6</v>
      </c>
      <c r="N64">
        <v>115.8</v>
      </c>
      <c r="O64">
        <v>123.8</v>
      </c>
      <c r="P64"/>
      <c r="Q64">
        <v>125.8</v>
      </c>
      <c r="R64">
        <v>120.8</v>
      </c>
      <c r="S64">
        <v>120.7</v>
      </c>
      <c r="T64">
        <v>117.2</v>
      </c>
      <c r="U64">
        <v>120.1</v>
      </c>
      <c r="V64">
        <v>116.1</v>
      </c>
      <c r="W64">
        <v>114.3</v>
      </c>
      <c r="X64">
        <v>116.1</v>
      </c>
      <c r="Y64">
        <v>113.7</v>
      </c>
      <c r="Z64">
        <v>112</v>
      </c>
      <c r="AA64">
        <v>113.1</v>
      </c>
      <c r="AB64">
        <v>118.6</v>
      </c>
      <c r="AC64">
        <v>109.5</v>
      </c>
      <c r="AD64">
        <v>113.7</v>
      </c>
      <c r="AE64">
        <v>120.1</v>
      </c>
    </row>
    <row r="65" spans="1:31"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c r="Q65">
        <v>125.1</v>
      </c>
      <c r="R65">
        <v>120</v>
      </c>
      <c r="S65">
        <v>122.7</v>
      </c>
      <c r="T65">
        <v>120.3</v>
      </c>
      <c r="U65">
        <v>122.3</v>
      </c>
      <c r="V65" t="s">
        <v>32</v>
      </c>
      <c r="W65">
        <v>116.4</v>
      </c>
      <c r="X65">
        <v>117.5</v>
      </c>
      <c r="Y65">
        <v>115.3</v>
      </c>
      <c r="Z65">
        <v>112.6</v>
      </c>
      <c r="AA65">
        <v>113</v>
      </c>
      <c r="AB65">
        <v>116.9</v>
      </c>
      <c r="AC65">
        <v>109.3</v>
      </c>
      <c r="AD65">
        <v>114</v>
      </c>
      <c r="AE65">
        <v>121</v>
      </c>
    </row>
    <row r="66" spans="1:31" hidden="1" x14ac:dyDescent="0.3">
      <c r="A66" t="s">
        <v>33</v>
      </c>
      <c r="B66">
        <v>2014</v>
      </c>
      <c r="C66" t="s">
        <v>43</v>
      </c>
      <c r="D66">
        <v>124.6</v>
      </c>
      <c r="E66">
        <v>126.1</v>
      </c>
      <c r="F66">
        <v>117.8</v>
      </c>
      <c r="G66">
        <v>123.1</v>
      </c>
      <c r="H66">
        <v>103.5</v>
      </c>
      <c r="I66">
        <v>123.5</v>
      </c>
      <c r="J66">
        <v>159.6</v>
      </c>
      <c r="K66">
        <v>117.4</v>
      </c>
      <c r="L66">
        <v>101.2</v>
      </c>
      <c r="M66">
        <v>123.8</v>
      </c>
      <c r="N66">
        <v>115.2</v>
      </c>
      <c r="O66">
        <v>125.9</v>
      </c>
      <c r="P66"/>
      <c r="Q66">
        <v>125.8</v>
      </c>
      <c r="R66">
        <v>124.3</v>
      </c>
      <c r="S66">
        <v>119.6</v>
      </c>
      <c r="T66">
        <v>114.9</v>
      </c>
      <c r="U66">
        <v>118.9</v>
      </c>
      <c r="V66">
        <v>116.7</v>
      </c>
      <c r="W66">
        <v>112</v>
      </c>
      <c r="X66">
        <v>115.8</v>
      </c>
      <c r="Y66">
        <v>112.6</v>
      </c>
      <c r="Z66">
        <v>111</v>
      </c>
      <c r="AA66">
        <v>113.6</v>
      </c>
      <c r="AB66">
        <v>120.2</v>
      </c>
      <c r="AC66">
        <v>110.1</v>
      </c>
      <c r="AD66">
        <v>113.7</v>
      </c>
      <c r="AE66">
        <v>119.1</v>
      </c>
    </row>
    <row r="67" spans="1:31"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c r="Q67">
        <v>125.4</v>
      </c>
      <c r="R67">
        <v>121.1</v>
      </c>
      <c r="S67">
        <v>121.5</v>
      </c>
      <c r="T67">
        <v>118.1</v>
      </c>
      <c r="U67">
        <v>121</v>
      </c>
      <c r="V67">
        <v>116.7</v>
      </c>
      <c r="W67">
        <v>114.7</v>
      </c>
      <c r="X67">
        <v>116.7</v>
      </c>
      <c r="Y67">
        <v>114.3</v>
      </c>
      <c r="Z67">
        <v>111.8</v>
      </c>
      <c r="AA67">
        <v>113.3</v>
      </c>
      <c r="AB67">
        <v>118.8</v>
      </c>
      <c r="AC67">
        <v>109.6</v>
      </c>
      <c r="AD67">
        <v>113.9</v>
      </c>
      <c r="AE67">
        <v>120.1</v>
      </c>
    </row>
    <row r="68" spans="1:31"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P68"/>
      <c r="Q68">
        <v>124.9</v>
      </c>
      <c r="R68">
        <v>120.8</v>
      </c>
      <c r="S68">
        <v>123.3</v>
      </c>
      <c r="T68">
        <v>120.5</v>
      </c>
      <c r="U68">
        <v>122.9</v>
      </c>
      <c r="V68" t="s">
        <v>32</v>
      </c>
      <c r="W68">
        <v>117.3</v>
      </c>
      <c r="X68">
        <v>118.1</v>
      </c>
      <c r="Y68">
        <v>115.9</v>
      </c>
      <c r="Z68">
        <v>112</v>
      </c>
      <c r="AA68">
        <v>113.3</v>
      </c>
      <c r="AB68">
        <v>117.2</v>
      </c>
      <c r="AC68">
        <v>108.8</v>
      </c>
      <c r="AD68">
        <v>114.1</v>
      </c>
      <c r="AE68">
        <v>121.1</v>
      </c>
    </row>
    <row r="69" spans="1:31"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c r="Q69">
        <v>125.4</v>
      </c>
      <c r="R69">
        <v>125.8</v>
      </c>
      <c r="S69">
        <v>120.3</v>
      </c>
      <c r="T69">
        <v>115.4</v>
      </c>
      <c r="U69">
        <v>119.5</v>
      </c>
      <c r="V69">
        <v>117.1</v>
      </c>
      <c r="W69">
        <v>112.6</v>
      </c>
      <c r="X69">
        <v>116.4</v>
      </c>
      <c r="Y69">
        <v>113</v>
      </c>
      <c r="Z69">
        <v>109.7</v>
      </c>
      <c r="AA69">
        <v>114</v>
      </c>
      <c r="AB69">
        <v>120.3</v>
      </c>
      <c r="AC69">
        <v>109.6</v>
      </c>
      <c r="AD69">
        <v>113.4</v>
      </c>
      <c r="AE69">
        <v>119</v>
      </c>
    </row>
    <row r="70" spans="1:31" hidden="1" x14ac:dyDescent="0.3">
      <c r="A70" t="s">
        <v>34</v>
      </c>
      <c r="B70">
        <v>2014</v>
      </c>
      <c r="C70" t="s">
        <v>45</v>
      </c>
      <c r="D70">
        <v>123.3</v>
      </c>
      <c r="E70">
        <v>123.7</v>
      </c>
      <c r="F70">
        <v>121</v>
      </c>
      <c r="G70">
        <v>124.2</v>
      </c>
      <c r="H70">
        <v>107.8</v>
      </c>
      <c r="I70">
        <v>125.7</v>
      </c>
      <c r="J70">
        <v>152.4</v>
      </c>
      <c r="K70">
        <v>117.2</v>
      </c>
      <c r="L70">
        <v>102.1</v>
      </c>
      <c r="M70">
        <v>118.7</v>
      </c>
      <c r="N70">
        <v>116.4</v>
      </c>
      <c r="O70">
        <v>125.6</v>
      </c>
      <c r="P70"/>
      <c r="Q70">
        <v>125.1</v>
      </c>
      <c r="R70">
        <v>122.1</v>
      </c>
      <c r="S70">
        <v>122.1</v>
      </c>
      <c r="T70">
        <v>118.4</v>
      </c>
      <c r="U70">
        <v>121.6</v>
      </c>
      <c r="V70">
        <v>117.1</v>
      </c>
      <c r="W70">
        <v>115.5</v>
      </c>
      <c r="X70">
        <v>117.3</v>
      </c>
      <c r="Y70">
        <v>114.8</v>
      </c>
      <c r="Z70">
        <v>110.8</v>
      </c>
      <c r="AA70">
        <v>113.7</v>
      </c>
      <c r="AB70">
        <v>119</v>
      </c>
      <c r="AC70">
        <v>109.1</v>
      </c>
      <c r="AD70">
        <v>113.8</v>
      </c>
      <c r="AE70">
        <v>120.1</v>
      </c>
    </row>
    <row r="71" spans="1:31"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P71"/>
      <c r="Q71">
        <v>123.3</v>
      </c>
      <c r="R71">
        <v>121.7</v>
      </c>
      <c r="S71">
        <v>123.8</v>
      </c>
      <c r="T71">
        <v>120.6</v>
      </c>
      <c r="U71">
        <v>123.3</v>
      </c>
      <c r="V71" t="s">
        <v>32</v>
      </c>
      <c r="W71">
        <v>117.4</v>
      </c>
      <c r="X71">
        <v>118.2</v>
      </c>
      <c r="Y71">
        <v>116.2</v>
      </c>
      <c r="Z71">
        <v>111.5</v>
      </c>
      <c r="AA71">
        <v>113.3</v>
      </c>
      <c r="AB71">
        <v>117.7</v>
      </c>
      <c r="AC71">
        <v>109.4</v>
      </c>
      <c r="AD71">
        <v>114.2</v>
      </c>
      <c r="AE71">
        <v>120.3</v>
      </c>
    </row>
    <row r="72" spans="1:31" hidden="1" x14ac:dyDescent="0.3">
      <c r="A72" t="s">
        <v>33</v>
      </c>
      <c r="B72">
        <v>2014</v>
      </c>
      <c r="C72" t="s">
        <v>46</v>
      </c>
      <c r="D72">
        <v>124</v>
      </c>
      <c r="E72">
        <v>124.7</v>
      </c>
      <c r="F72">
        <v>126.3</v>
      </c>
      <c r="G72">
        <v>124.9</v>
      </c>
      <c r="H72">
        <v>103</v>
      </c>
      <c r="I72">
        <v>122.3</v>
      </c>
      <c r="J72">
        <v>141</v>
      </c>
      <c r="K72">
        <v>120.1</v>
      </c>
      <c r="L72">
        <v>97.8</v>
      </c>
      <c r="M72">
        <v>125.4</v>
      </c>
      <c r="N72">
        <v>116.1</v>
      </c>
      <c r="O72">
        <v>127.6</v>
      </c>
      <c r="P72"/>
      <c r="Q72">
        <v>124</v>
      </c>
      <c r="R72">
        <v>126.4</v>
      </c>
      <c r="S72">
        <v>120.7</v>
      </c>
      <c r="T72">
        <v>115.8</v>
      </c>
      <c r="U72">
        <v>120</v>
      </c>
      <c r="V72">
        <v>116.5</v>
      </c>
      <c r="W72">
        <v>113</v>
      </c>
      <c r="X72">
        <v>116.8</v>
      </c>
      <c r="Y72">
        <v>113.2</v>
      </c>
      <c r="Z72">
        <v>108.8</v>
      </c>
      <c r="AA72">
        <v>114.3</v>
      </c>
      <c r="AB72">
        <v>120.7</v>
      </c>
      <c r="AC72">
        <v>110.4</v>
      </c>
      <c r="AD72">
        <v>113.4</v>
      </c>
      <c r="AE72">
        <v>118.4</v>
      </c>
    </row>
    <row r="73" spans="1:31" hidden="1" x14ac:dyDescent="0.3">
      <c r="A73" t="s">
        <v>34</v>
      </c>
      <c r="B73">
        <v>2014</v>
      </c>
      <c r="C73" t="s">
        <v>46</v>
      </c>
      <c r="D73">
        <v>122.9</v>
      </c>
      <c r="E73">
        <v>123.2</v>
      </c>
      <c r="F73">
        <v>123.5</v>
      </c>
      <c r="G73">
        <v>124.5</v>
      </c>
      <c r="H73">
        <v>107.6</v>
      </c>
      <c r="I73">
        <v>125.7</v>
      </c>
      <c r="J73">
        <v>140.5</v>
      </c>
      <c r="K73">
        <v>117.6</v>
      </c>
      <c r="L73">
        <v>100.6</v>
      </c>
      <c r="M73">
        <v>119.1</v>
      </c>
      <c r="N73">
        <v>116.8</v>
      </c>
      <c r="O73">
        <v>126.1</v>
      </c>
      <c r="P73"/>
      <c r="Q73">
        <v>123.6</v>
      </c>
      <c r="R73">
        <v>123</v>
      </c>
      <c r="S73">
        <v>122.6</v>
      </c>
      <c r="T73">
        <v>118.6</v>
      </c>
      <c r="U73">
        <v>122</v>
      </c>
      <c r="V73">
        <v>116.5</v>
      </c>
      <c r="W73">
        <v>115.7</v>
      </c>
      <c r="X73">
        <v>117.5</v>
      </c>
      <c r="Y73">
        <v>115.1</v>
      </c>
      <c r="Z73">
        <v>110.1</v>
      </c>
      <c r="AA73">
        <v>113.9</v>
      </c>
      <c r="AB73">
        <v>119.5</v>
      </c>
      <c r="AC73">
        <v>109.8</v>
      </c>
      <c r="AD73">
        <v>113.8</v>
      </c>
      <c r="AE73">
        <v>119.4</v>
      </c>
    </row>
    <row r="74" spans="1:31"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c r="Q74">
        <v>122.8</v>
      </c>
      <c r="R74">
        <v>122.7</v>
      </c>
      <c r="S74">
        <v>124.4</v>
      </c>
      <c r="T74">
        <v>121.6</v>
      </c>
      <c r="U74">
        <v>124</v>
      </c>
      <c r="V74" t="s">
        <v>32</v>
      </c>
      <c r="W74">
        <v>118.4</v>
      </c>
      <c r="X74">
        <v>118.9</v>
      </c>
      <c r="Y74">
        <v>116.6</v>
      </c>
      <c r="Z74">
        <v>111</v>
      </c>
      <c r="AA74">
        <v>114</v>
      </c>
      <c r="AB74">
        <v>118.2</v>
      </c>
      <c r="AC74">
        <v>110.2</v>
      </c>
      <c r="AD74">
        <v>114.5</v>
      </c>
      <c r="AE74">
        <v>120.3</v>
      </c>
    </row>
    <row r="75" spans="1:31" hidden="1" x14ac:dyDescent="0.3">
      <c r="A75" t="s">
        <v>33</v>
      </c>
      <c r="B75">
        <v>2015</v>
      </c>
      <c r="C75" t="s">
        <v>31</v>
      </c>
      <c r="D75">
        <v>124</v>
      </c>
      <c r="E75">
        <v>125.5</v>
      </c>
      <c r="F75">
        <v>126.6</v>
      </c>
      <c r="G75">
        <v>125.2</v>
      </c>
      <c r="H75">
        <v>104.3</v>
      </c>
      <c r="I75">
        <v>121.3</v>
      </c>
      <c r="J75">
        <v>134.4</v>
      </c>
      <c r="K75">
        <v>122.9</v>
      </c>
      <c r="L75">
        <v>96.1</v>
      </c>
      <c r="M75">
        <v>126.6</v>
      </c>
      <c r="N75">
        <v>116.5</v>
      </c>
      <c r="O75">
        <v>128</v>
      </c>
      <c r="P75"/>
      <c r="Q75">
        <v>123.5</v>
      </c>
      <c r="R75">
        <v>127.4</v>
      </c>
      <c r="S75">
        <v>121</v>
      </c>
      <c r="T75">
        <v>116.1</v>
      </c>
      <c r="U75">
        <v>120.2</v>
      </c>
      <c r="V75">
        <v>117.3</v>
      </c>
      <c r="W75">
        <v>113.4</v>
      </c>
      <c r="X75">
        <v>117.2</v>
      </c>
      <c r="Y75">
        <v>113.7</v>
      </c>
      <c r="Z75">
        <v>107.9</v>
      </c>
      <c r="AA75">
        <v>114.6</v>
      </c>
      <c r="AB75">
        <v>120.8</v>
      </c>
      <c r="AC75">
        <v>111.4</v>
      </c>
      <c r="AD75">
        <v>113.4</v>
      </c>
      <c r="AE75">
        <v>118.5</v>
      </c>
    </row>
    <row r="76" spans="1:31" hidden="1" x14ac:dyDescent="0.3">
      <c r="A76" t="s">
        <v>34</v>
      </c>
      <c r="B76">
        <v>2015</v>
      </c>
      <c r="C76" t="s">
        <v>31</v>
      </c>
      <c r="D76">
        <v>123.4</v>
      </c>
      <c r="E76">
        <v>123.9</v>
      </c>
      <c r="F76">
        <v>123.8</v>
      </c>
      <c r="G76">
        <v>125</v>
      </c>
      <c r="H76">
        <v>108.5</v>
      </c>
      <c r="I76">
        <v>126.2</v>
      </c>
      <c r="J76">
        <v>133</v>
      </c>
      <c r="K76">
        <v>119.1</v>
      </c>
      <c r="L76">
        <v>99</v>
      </c>
      <c r="M76">
        <v>120.3</v>
      </c>
      <c r="N76">
        <v>117.3</v>
      </c>
      <c r="O76">
        <v>126.7</v>
      </c>
      <c r="P76"/>
      <c r="Q76">
        <v>123.1</v>
      </c>
      <c r="R76">
        <v>124</v>
      </c>
      <c r="S76">
        <v>123.1</v>
      </c>
      <c r="T76">
        <v>119.3</v>
      </c>
      <c r="U76">
        <v>122.5</v>
      </c>
      <c r="V76">
        <v>117.3</v>
      </c>
      <c r="W76">
        <v>116.5</v>
      </c>
      <c r="X76">
        <v>118.1</v>
      </c>
      <c r="Y76">
        <v>115.5</v>
      </c>
      <c r="Z76">
        <v>109.4</v>
      </c>
      <c r="AA76">
        <v>114.3</v>
      </c>
      <c r="AB76">
        <v>119.7</v>
      </c>
      <c r="AC76">
        <v>110.7</v>
      </c>
      <c r="AD76">
        <v>114</v>
      </c>
      <c r="AE76">
        <v>119.5</v>
      </c>
    </row>
    <row r="77" spans="1:31"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c r="Q77">
        <v>122.8</v>
      </c>
      <c r="R77">
        <v>124.2</v>
      </c>
      <c r="S77">
        <v>125.4</v>
      </c>
      <c r="T77">
        <v>122.7</v>
      </c>
      <c r="U77">
        <v>125</v>
      </c>
      <c r="V77" t="s">
        <v>32</v>
      </c>
      <c r="W77">
        <v>120</v>
      </c>
      <c r="X77">
        <v>119.6</v>
      </c>
      <c r="Y77">
        <v>117.7</v>
      </c>
      <c r="Z77">
        <v>110.9</v>
      </c>
      <c r="AA77">
        <v>114.8</v>
      </c>
      <c r="AB77">
        <v>118.7</v>
      </c>
      <c r="AC77">
        <v>110.8</v>
      </c>
      <c r="AD77">
        <v>115</v>
      </c>
      <c r="AE77">
        <v>120.6</v>
      </c>
    </row>
    <row r="78" spans="1:31"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P78"/>
      <c r="Q78">
        <v>123.7</v>
      </c>
      <c r="R78">
        <v>128.1</v>
      </c>
      <c r="S78">
        <v>121.3</v>
      </c>
      <c r="T78">
        <v>116.5</v>
      </c>
      <c r="U78">
        <v>120.6</v>
      </c>
      <c r="V78">
        <v>118.1</v>
      </c>
      <c r="W78">
        <v>114</v>
      </c>
      <c r="X78">
        <v>117.7</v>
      </c>
      <c r="Y78">
        <v>114.1</v>
      </c>
      <c r="Z78">
        <v>106.8</v>
      </c>
      <c r="AA78">
        <v>114.9</v>
      </c>
      <c r="AB78">
        <v>120.4</v>
      </c>
      <c r="AC78">
        <v>111.7</v>
      </c>
      <c r="AD78">
        <v>113.2</v>
      </c>
      <c r="AE78">
        <v>118.7</v>
      </c>
    </row>
    <row r="79" spans="1:31" hidden="1" x14ac:dyDescent="0.3">
      <c r="A79" t="s">
        <v>34</v>
      </c>
      <c r="B79">
        <v>2015</v>
      </c>
      <c r="C79" t="s">
        <v>35</v>
      </c>
      <c r="D79">
        <v>123.7</v>
      </c>
      <c r="E79">
        <v>125.1</v>
      </c>
      <c r="F79">
        <v>121.1</v>
      </c>
      <c r="G79">
        <v>125.7</v>
      </c>
      <c r="H79">
        <v>109.1</v>
      </c>
      <c r="I79">
        <v>125.8</v>
      </c>
      <c r="J79">
        <v>129.4</v>
      </c>
      <c r="K79">
        <v>120.9</v>
      </c>
      <c r="L79">
        <v>98.3</v>
      </c>
      <c r="M79">
        <v>121.6</v>
      </c>
      <c r="N79">
        <v>118</v>
      </c>
      <c r="O79">
        <v>127.6</v>
      </c>
      <c r="P79"/>
      <c r="Q79">
        <v>123.1</v>
      </c>
      <c r="R79">
        <v>125.2</v>
      </c>
      <c r="S79">
        <v>123.8</v>
      </c>
      <c r="T79">
        <v>120.1</v>
      </c>
      <c r="U79">
        <v>123.3</v>
      </c>
      <c r="V79">
        <v>118.1</v>
      </c>
      <c r="W79">
        <v>117.7</v>
      </c>
      <c r="X79">
        <v>118.7</v>
      </c>
      <c r="Y79">
        <v>116.3</v>
      </c>
      <c r="Z79">
        <v>108.7</v>
      </c>
      <c r="AA79">
        <v>114.9</v>
      </c>
      <c r="AB79">
        <v>119.7</v>
      </c>
      <c r="AC79">
        <v>111.2</v>
      </c>
      <c r="AD79">
        <v>114.1</v>
      </c>
      <c r="AE79">
        <v>119.7</v>
      </c>
    </row>
    <row r="80" spans="1:31" hidden="1" x14ac:dyDescent="0.3">
      <c r="A80" t="s">
        <v>30</v>
      </c>
      <c r="B80">
        <v>2015</v>
      </c>
      <c r="C80" t="s">
        <v>36</v>
      </c>
      <c r="D80">
        <v>123.3</v>
      </c>
      <c r="E80">
        <v>124.7</v>
      </c>
      <c r="F80">
        <v>118.9</v>
      </c>
      <c r="G80">
        <v>126</v>
      </c>
      <c r="H80">
        <v>111.8</v>
      </c>
      <c r="I80">
        <v>130.9</v>
      </c>
      <c r="J80">
        <v>128</v>
      </c>
      <c r="K80">
        <v>119.9</v>
      </c>
      <c r="L80">
        <v>98.9</v>
      </c>
      <c r="M80">
        <v>119.4</v>
      </c>
      <c r="N80">
        <v>118.9</v>
      </c>
      <c r="O80">
        <v>127.7</v>
      </c>
      <c r="P80"/>
      <c r="Q80">
        <v>123.1</v>
      </c>
      <c r="R80">
        <v>124.7</v>
      </c>
      <c r="S80">
        <v>126</v>
      </c>
      <c r="T80">
        <v>122.9</v>
      </c>
      <c r="U80">
        <v>125.5</v>
      </c>
      <c r="V80" t="s">
        <v>32</v>
      </c>
      <c r="W80">
        <v>120.6</v>
      </c>
      <c r="X80">
        <v>120.2</v>
      </c>
      <c r="Y80">
        <v>118.2</v>
      </c>
      <c r="Z80">
        <v>111.6</v>
      </c>
      <c r="AA80">
        <v>115.5</v>
      </c>
      <c r="AB80">
        <v>119.4</v>
      </c>
      <c r="AC80">
        <v>110.8</v>
      </c>
      <c r="AD80">
        <v>115.5</v>
      </c>
      <c r="AE80">
        <v>121.1</v>
      </c>
    </row>
    <row r="81" spans="1:31"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P81"/>
      <c r="Q81">
        <v>123.9</v>
      </c>
      <c r="R81">
        <v>128.80000000000001</v>
      </c>
      <c r="S81">
        <v>121.7</v>
      </c>
      <c r="T81">
        <v>116.9</v>
      </c>
      <c r="U81">
        <v>120.9</v>
      </c>
      <c r="V81">
        <v>118.6</v>
      </c>
      <c r="W81">
        <v>114.4</v>
      </c>
      <c r="X81">
        <v>118</v>
      </c>
      <c r="Y81">
        <v>114.3</v>
      </c>
      <c r="Z81">
        <v>108.4</v>
      </c>
      <c r="AA81">
        <v>115.4</v>
      </c>
      <c r="AB81">
        <v>120.6</v>
      </c>
      <c r="AC81">
        <v>111.3</v>
      </c>
      <c r="AD81">
        <v>113.8</v>
      </c>
      <c r="AE81">
        <v>119.1</v>
      </c>
    </row>
    <row r="82" spans="1:31"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P82"/>
      <c r="Q82">
        <v>123.4</v>
      </c>
      <c r="R82">
        <v>125.8</v>
      </c>
      <c r="S82">
        <v>124.3</v>
      </c>
      <c r="T82">
        <v>120.4</v>
      </c>
      <c r="U82">
        <v>123.7</v>
      </c>
      <c r="V82">
        <v>118.6</v>
      </c>
      <c r="W82">
        <v>118.3</v>
      </c>
      <c r="X82">
        <v>119.2</v>
      </c>
      <c r="Y82">
        <v>116.7</v>
      </c>
      <c r="Z82">
        <v>109.9</v>
      </c>
      <c r="AA82">
        <v>115.4</v>
      </c>
      <c r="AB82">
        <v>120.1</v>
      </c>
      <c r="AC82">
        <v>111</v>
      </c>
      <c r="AD82">
        <v>114.7</v>
      </c>
      <c r="AE82">
        <v>120.2</v>
      </c>
    </row>
    <row r="83" spans="1:31"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c r="Q83">
        <v>123.6</v>
      </c>
      <c r="R83">
        <v>125.7</v>
      </c>
      <c r="S83">
        <v>126.4</v>
      </c>
      <c r="T83">
        <v>123.3</v>
      </c>
      <c r="U83">
        <v>126</v>
      </c>
      <c r="V83" t="s">
        <v>32</v>
      </c>
      <c r="W83">
        <v>121.2</v>
      </c>
      <c r="X83">
        <v>120.9</v>
      </c>
      <c r="Y83">
        <v>118.6</v>
      </c>
      <c r="Z83">
        <v>111.9</v>
      </c>
      <c r="AA83">
        <v>116.2</v>
      </c>
      <c r="AB83">
        <v>119.9</v>
      </c>
      <c r="AC83">
        <v>111.6</v>
      </c>
      <c r="AD83">
        <v>116</v>
      </c>
      <c r="AE83">
        <v>121.5</v>
      </c>
    </row>
    <row r="84" spans="1:31"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c r="Q84">
        <v>124.6</v>
      </c>
      <c r="R84">
        <v>130.1</v>
      </c>
      <c r="S84">
        <v>122.1</v>
      </c>
      <c r="T84">
        <v>117.2</v>
      </c>
      <c r="U84">
        <v>121.3</v>
      </c>
      <c r="V84">
        <v>119.2</v>
      </c>
      <c r="W84">
        <v>114.7</v>
      </c>
      <c r="X84">
        <v>118.4</v>
      </c>
      <c r="Y84">
        <v>114.6</v>
      </c>
      <c r="Z84">
        <v>108.4</v>
      </c>
      <c r="AA84">
        <v>115.6</v>
      </c>
      <c r="AB84">
        <v>121.7</v>
      </c>
      <c r="AC84">
        <v>111.8</v>
      </c>
      <c r="AD84">
        <v>114.2</v>
      </c>
      <c r="AE84">
        <v>119.7</v>
      </c>
    </row>
    <row r="85" spans="1:31" hidden="1" x14ac:dyDescent="0.3">
      <c r="A85" t="s">
        <v>34</v>
      </c>
      <c r="B85">
        <v>2015</v>
      </c>
      <c r="C85" t="s">
        <v>37</v>
      </c>
      <c r="D85">
        <v>123.5</v>
      </c>
      <c r="E85">
        <v>126.4</v>
      </c>
      <c r="F85">
        <v>114.4</v>
      </c>
      <c r="G85">
        <v>126.6</v>
      </c>
      <c r="H85">
        <v>109.2</v>
      </c>
      <c r="I85">
        <v>132.5</v>
      </c>
      <c r="J85">
        <v>128.6</v>
      </c>
      <c r="K85">
        <v>124.8</v>
      </c>
      <c r="L85">
        <v>95.7</v>
      </c>
      <c r="M85">
        <v>122.4</v>
      </c>
      <c r="N85">
        <v>118.5</v>
      </c>
      <c r="O85">
        <v>129.1</v>
      </c>
      <c r="P85"/>
      <c r="Q85">
        <v>124</v>
      </c>
      <c r="R85">
        <v>126.9</v>
      </c>
      <c r="S85">
        <v>124.7</v>
      </c>
      <c r="T85">
        <v>120.8</v>
      </c>
      <c r="U85">
        <v>124.1</v>
      </c>
      <c r="V85">
        <v>119.2</v>
      </c>
      <c r="W85">
        <v>118.7</v>
      </c>
      <c r="X85">
        <v>119.7</v>
      </c>
      <c r="Y85">
        <v>117.1</v>
      </c>
      <c r="Z85">
        <v>110.1</v>
      </c>
      <c r="AA85">
        <v>115.9</v>
      </c>
      <c r="AB85">
        <v>121</v>
      </c>
      <c r="AC85">
        <v>111.7</v>
      </c>
      <c r="AD85">
        <v>115.1</v>
      </c>
      <c r="AE85">
        <v>120.7</v>
      </c>
    </row>
    <row r="86" spans="1:31"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c r="Q86">
        <v>124.4</v>
      </c>
      <c r="R86">
        <v>126.7</v>
      </c>
      <c r="S86">
        <v>127.3</v>
      </c>
      <c r="T86">
        <v>124.1</v>
      </c>
      <c r="U86">
        <v>126.8</v>
      </c>
      <c r="V86" t="s">
        <v>32</v>
      </c>
      <c r="W86">
        <v>121.9</v>
      </c>
      <c r="X86">
        <v>121.5</v>
      </c>
      <c r="Y86">
        <v>119.4</v>
      </c>
      <c r="Z86">
        <v>113.3</v>
      </c>
      <c r="AA86">
        <v>116.7</v>
      </c>
      <c r="AB86">
        <v>120.5</v>
      </c>
      <c r="AC86">
        <v>112.3</v>
      </c>
      <c r="AD86">
        <v>116.9</v>
      </c>
      <c r="AE86">
        <v>122.4</v>
      </c>
    </row>
    <row r="87" spans="1:31"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c r="Q87">
        <v>126.1</v>
      </c>
      <c r="R87">
        <v>131.30000000000001</v>
      </c>
      <c r="S87">
        <v>122.4</v>
      </c>
      <c r="T87">
        <v>117.4</v>
      </c>
      <c r="U87">
        <v>121.6</v>
      </c>
      <c r="V87">
        <v>119.6</v>
      </c>
      <c r="W87">
        <v>114.9</v>
      </c>
      <c r="X87">
        <v>118.7</v>
      </c>
      <c r="Y87">
        <v>114.9</v>
      </c>
      <c r="Z87">
        <v>110.8</v>
      </c>
      <c r="AA87">
        <v>116</v>
      </c>
      <c r="AB87">
        <v>122</v>
      </c>
      <c r="AC87">
        <v>112.4</v>
      </c>
      <c r="AD87">
        <v>115.2</v>
      </c>
      <c r="AE87">
        <v>120.7</v>
      </c>
    </row>
    <row r="88" spans="1:31"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P88"/>
      <c r="Q88">
        <v>125</v>
      </c>
      <c r="R88">
        <v>127.9</v>
      </c>
      <c r="S88">
        <v>125.4</v>
      </c>
      <c r="T88">
        <v>121.3</v>
      </c>
      <c r="U88">
        <v>124.7</v>
      </c>
      <c r="V88">
        <v>119.6</v>
      </c>
      <c r="W88">
        <v>119.2</v>
      </c>
      <c r="X88">
        <v>120.2</v>
      </c>
      <c r="Y88">
        <v>117.7</v>
      </c>
      <c r="Z88">
        <v>112</v>
      </c>
      <c r="AA88">
        <v>116.3</v>
      </c>
      <c r="AB88">
        <v>121.4</v>
      </c>
      <c r="AC88">
        <v>112.3</v>
      </c>
      <c r="AD88">
        <v>116.1</v>
      </c>
      <c r="AE88">
        <v>121.6</v>
      </c>
    </row>
    <row r="89" spans="1:31"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c r="Q89">
        <v>126.6</v>
      </c>
      <c r="R89">
        <v>128.19999999999999</v>
      </c>
      <c r="S89">
        <v>128.4</v>
      </c>
      <c r="T89">
        <v>125.1</v>
      </c>
      <c r="U89">
        <v>128</v>
      </c>
      <c r="V89" t="s">
        <v>32</v>
      </c>
      <c r="W89">
        <v>122.6</v>
      </c>
      <c r="X89">
        <v>122.8</v>
      </c>
      <c r="Y89">
        <v>120.4</v>
      </c>
      <c r="Z89">
        <v>114.2</v>
      </c>
      <c r="AA89">
        <v>117.9</v>
      </c>
      <c r="AB89">
        <v>122</v>
      </c>
      <c r="AC89">
        <v>113</v>
      </c>
      <c r="AD89">
        <v>117.9</v>
      </c>
      <c r="AE89">
        <v>124.1</v>
      </c>
    </row>
    <row r="90" spans="1:31"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c r="Q90">
        <v>128.5</v>
      </c>
      <c r="R90">
        <v>132.1</v>
      </c>
      <c r="S90">
        <v>123.2</v>
      </c>
      <c r="T90">
        <v>117.6</v>
      </c>
      <c r="U90">
        <v>122.3</v>
      </c>
      <c r="V90">
        <v>119</v>
      </c>
      <c r="W90">
        <v>115.1</v>
      </c>
      <c r="X90">
        <v>119.2</v>
      </c>
      <c r="Y90">
        <v>115.4</v>
      </c>
      <c r="Z90">
        <v>111.7</v>
      </c>
      <c r="AA90">
        <v>116.2</v>
      </c>
      <c r="AB90">
        <v>123.8</v>
      </c>
      <c r="AC90">
        <v>112.5</v>
      </c>
      <c r="AD90">
        <v>116</v>
      </c>
      <c r="AE90">
        <v>121.7</v>
      </c>
    </row>
    <row r="91" spans="1:31"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c r="Q91">
        <v>127.3</v>
      </c>
      <c r="R91">
        <v>129.19999999999999</v>
      </c>
      <c r="S91">
        <v>126.4</v>
      </c>
      <c r="T91">
        <v>122</v>
      </c>
      <c r="U91">
        <v>125.7</v>
      </c>
      <c r="V91">
        <v>119</v>
      </c>
      <c r="W91">
        <v>119.8</v>
      </c>
      <c r="X91">
        <v>121.1</v>
      </c>
      <c r="Y91">
        <v>118.5</v>
      </c>
      <c r="Z91">
        <v>112.9</v>
      </c>
      <c r="AA91">
        <v>116.9</v>
      </c>
      <c r="AB91">
        <v>123.1</v>
      </c>
      <c r="AC91">
        <v>112.8</v>
      </c>
      <c r="AD91">
        <v>117</v>
      </c>
      <c r="AE91">
        <v>123</v>
      </c>
    </row>
    <row r="92" spans="1:31"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c r="Q92">
        <v>127.5</v>
      </c>
      <c r="R92">
        <v>129.4</v>
      </c>
      <c r="S92">
        <v>128.80000000000001</v>
      </c>
      <c r="T92">
        <v>125.5</v>
      </c>
      <c r="U92">
        <v>128.30000000000001</v>
      </c>
      <c r="V92" t="s">
        <v>32</v>
      </c>
      <c r="W92">
        <v>123</v>
      </c>
      <c r="X92">
        <v>123</v>
      </c>
      <c r="Y92">
        <v>120.8</v>
      </c>
      <c r="Z92">
        <v>114.1</v>
      </c>
      <c r="AA92">
        <v>118</v>
      </c>
      <c r="AB92">
        <v>122.9</v>
      </c>
      <c r="AC92">
        <v>112.7</v>
      </c>
      <c r="AD92">
        <v>118.1</v>
      </c>
      <c r="AE92">
        <v>124.7</v>
      </c>
    </row>
    <row r="93" spans="1:31"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c r="Q93">
        <v>129.5</v>
      </c>
      <c r="R93">
        <v>133.1</v>
      </c>
      <c r="S93">
        <v>123.5</v>
      </c>
      <c r="T93">
        <v>117.9</v>
      </c>
      <c r="U93">
        <v>122.7</v>
      </c>
      <c r="V93">
        <v>119.9</v>
      </c>
      <c r="W93">
        <v>115.3</v>
      </c>
      <c r="X93">
        <v>119.5</v>
      </c>
      <c r="Y93">
        <v>116</v>
      </c>
      <c r="Z93">
        <v>111.5</v>
      </c>
      <c r="AA93">
        <v>116.6</v>
      </c>
      <c r="AB93">
        <v>125.4</v>
      </c>
      <c r="AC93">
        <v>111.7</v>
      </c>
      <c r="AD93">
        <v>116.3</v>
      </c>
      <c r="AE93">
        <v>122.4</v>
      </c>
    </row>
    <row r="94" spans="1:31"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P94"/>
      <c r="Q94">
        <v>128.19999999999999</v>
      </c>
      <c r="R94">
        <v>130.4</v>
      </c>
      <c r="S94">
        <v>126.7</v>
      </c>
      <c r="T94">
        <v>122.3</v>
      </c>
      <c r="U94">
        <v>126.1</v>
      </c>
      <c r="V94">
        <v>119.9</v>
      </c>
      <c r="W94">
        <v>120.1</v>
      </c>
      <c r="X94">
        <v>121.3</v>
      </c>
      <c r="Y94">
        <v>119</v>
      </c>
      <c r="Z94">
        <v>112.7</v>
      </c>
      <c r="AA94">
        <v>117.2</v>
      </c>
      <c r="AB94">
        <v>124.4</v>
      </c>
      <c r="AC94">
        <v>112.3</v>
      </c>
      <c r="AD94">
        <v>117.2</v>
      </c>
      <c r="AE94">
        <v>123.6</v>
      </c>
    </row>
    <row r="95" spans="1:31"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c r="Q95">
        <v>129.80000000000001</v>
      </c>
      <c r="R95">
        <v>130.1</v>
      </c>
      <c r="S95">
        <v>129.5</v>
      </c>
      <c r="T95">
        <v>126.3</v>
      </c>
      <c r="U95">
        <v>129</v>
      </c>
      <c r="V95" t="s">
        <v>32</v>
      </c>
      <c r="W95">
        <v>123.8</v>
      </c>
      <c r="X95">
        <v>123.7</v>
      </c>
      <c r="Y95">
        <v>121.1</v>
      </c>
      <c r="Z95">
        <v>113.6</v>
      </c>
      <c r="AA95">
        <v>118.5</v>
      </c>
      <c r="AB95">
        <v>123.6</v>
      </c>
      <c r="AC95">
        <v>112.5</v>
      </c>
      <c r="AD95">
        <v>118.2</v>
      </c>
      <c r="AE95">
        <v>126.1</v>
      </c>
    </row>
    <row r="96" spans="1:31"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c r="Q96">
        <v>131.1</v>
      </c>
      <c r="R96">
        <v>134.19999999999999</v>
      </c>
      <c r="S96">
        <v>123.7</v>
      </c>
      <c r="T96">
        <v>118.2</v>
      </c>
      <c r="U96">
        <v>122.9</v>
      </c>
      <c r="V96">
        <v>120.9</v>
      </c>
      <c r="W96">
        <v>115.3</v>
      </c>
      <c r="X96">
        <v>120</v>
      </c>
      <c r="Y96">
        <v>116.6</v>
      </c>
      <c r="Z96">
        <v>109.9</v>
      </c>
      <c r="AA96">
        <v>117.2</v>
      </c>
      <c r="AB96">
        <v>126.2</v>
      </c>
      <c r="AC96">
        <v>112</v>
      </c>
      <c r="AD96">
        <v>116.2</v>
      </c>
      <c r="AE96">
        <v>123.2</v>
      </c>
    </row>
    <row r="97" spans="1:31"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P97"/>
      <c r="Q97">
        <v>130.30000000000001</v>
      </c>
      <c r="R97">
        <v>131.19999999999999</v>
      </c>
      <c r="S97">
        <v>127.2</v>
      </c>
      <c r="T97">
        <v>122.9</v>
      </c>
      <c r="U97">
        <v>126.6</v>
      </c>
      <c r="V97">
        <v>120.9</v>
      </c>
      <c r="W97">
        <v>120.6</v>
      </c>
      <c r="X97">
        <v>122</v>
      </c>
      <c r="Y97">
        <v>119.4</v>
      </c>
      <c r="Z97">
        <v>111.7</v>
      </c>
      <c r="AA97">
        <v>117.8</v>
      </c>
      <c r="AB97">
        <v>125.1</v>
      </c>
      <c r="AC97">
        <v>112.3</v>
      </c>
      <c r="AD97">
        <v>117.2</v>
      </c>
      <c r="AE97">
        <v>124.8</v>
      </c>
    </row>
    <row r="98" spans="1:31"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c r="Q98">
        <v>131</v>
      </c>
      <c r="R98">
        <v>131</v>
      </c>
      <c r="S98">
        <v>130.4</v>
      </c>
      <c r="T98">
        <v>126.8</v>
      </c>
      <c r="U98">
        <v>129.9</v>
      </c>
      <c r="V98" t="s">
        <v>32</v>
      </c>
      <c r="W98">
        <v>123.7</v>
      </c>
      <c r="X98">
        <v>124.5</v>
      </c>
      <c r="Y98">
        <v>121.4</v>
      </c>
      <c r="Z98">
        <v>113.8</v>
      </c>
      <c r="AA98">
        <v>119.6</v>
      </c>
      <c r="AB98">
        <v>124.5</v>
      </c>
      <c r="AC98">
        <v>113.7</v>
      </c>
      <c r="AD98">
        <v>118.8</v>
      </c>
      <c r="AE98">
        <v>127</v>
      </c>
    </row>
    <row r="99" spans="1:31"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c r="Q99">
        <v>131.5</v>
      </c>
      <c r="R99">
        <v>134.69999999999999</v>
      </c>
      <c r="S99">
        <v>124</v>
      </c>
      <c r="T99">
        <v>118.6</v>
      </c>
      <c r="U99">
        <v>123.2</v>
      </c>
      <c r="V99">
        <v>121.6</v>
      </c>
      <c r="W99">
        <v>115.1</v>
      </c>
      <c r="X99">
        <v>120.4</v>
      </c>
      <c r="Y99">
        <v>117.1</v>
      </c>
      <c r="Z99">
        <v>109.1</v>
      </c>
      <c r="AA99">
        <v>117.3</v>
      </c>
      <c r="AB99">
        <v>126.5</v>
      </c>
      <c r="AC99">
        <v>112.9</v>
      </c>
      <c r="AD99">
        <v>116.2</v>
      </c>
      <c r="AE99">
        <v>123.5</v>
      </c>
    </row>
    <row r="100" spans="1:31"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c r="Q100">
        <v>131.19999999999999</v>
      </c>
      <c r="R100">
        <v>132</v>
      </c>
      <c r="S100">
        <v>127.9</v>
      </c>
      <c r="T100">
        <v>123.4</v>
      </c>
      <c r="U100">
        <v>127.2</v>
      </c>
      <c r="V100">
        <v>121.6</v>
      </c>
      <c r="W100">
        <v>120.4</v>
      </c>
      <c r="X100">
        <v>122.6</v>
      </c>
      <c r="Y100">
        <v>119.8</v>
      </c>
      <c r="Z100">
        <v>111.3</v>
      </c>
      <c r="AA100">
        <v>118.3</v>
      </c>
      <c r="AB100">
        <v>125.7</v>
      </c>
      <c r="AC100">
        <v>113.4</v>
      </c>
      <c r="AD100">
        <v>117.5</v>
      </c>
      <c r="AE100">
        <v>125.4</v>
      </c>
    </row>
    <row r="101" spans="1:31"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c r="Q101">
        <v>131.80000000000001</v>
      </c>
      <c r="R101">
        <v>131.5</v>
      </c>
      <c r="S101">
        <v>131.1</v>
      </c>
      <c r="T101">
        <v>127.3</v>
      </c>
      <c r="U101">
        <v>130.6</v>
      </c>
      <c r="V101" t="s">
        <v>32</v>
      </c>
      <c r="W101">
        <v>124.4</v>
      </c>
      <c r="X101">
        <v>125.1</v>
      </c>
      <c r="Y101">
        <v>122</v>
      </c>
      <c r="Z101">
        <v>113.8</v>
      </c>
      <c r="AA101">
        <v>120.1</v>
      </c>
      <c r="AB101">
        <v>125.1</v>
      </c>
      <c r="AC101">
        <v>114.2</v>
      </c>
      <c r="AD101">
        <v>119.2</v>
      </c>
      <c r="AE101">
        <v>127.7</v>
      </c>
    </row>
    <row r="102" spans="1:31"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c r="Q102">
        <v>132.6</v>
      </c>
      <c r="R102">
        <v>135.30000000000001</v>
      </c>
      <c r="S102">
        <v>124.4</v>
      </c>
      <c r="T102">
        <v>118.8</v>
      </c>
      <c r="U102">
        <v>123.6</v>
      </c>
      <c r="V102">
        <v>122.4</v>
      </c>
      <c r="W102">
        <v>114.9</v>
      </c>
      <c r="X102">
        <v>120.7</v>
      </c>
      <c r="Y102">
        <v>117.7</v>
      </c>
      <c r="Z102">
        <v>109.3</v>
      </c>
      <c r="AA102">
        <v>117.7</v>
      </c>
      <c r="AB102">
        <v>126.5</v>
      </c>
      <c r="AC102">
        <v>113.5</v>
      </c>
      <c r="AD102">
        <v>116.5</v>
      </c>
      <c r="AE102">
        <v>124.2</v>
      </c>
    </row>
    <row r="103" spans="1:31"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c r="Q103">
        <v>132.1</v>
      </c>
      <c r="R103">
        <v>132.5</v>
      </c>
      <c r="S103">
        <v>128.5</v>
      </c>
      <c r="T103">
        <v>123.8</v>
      </c>
      <c r="U103">
        <v>127.8</v>
      </c>
      <c r="V103">
        <v>122.4</v>
      </c>
      <c r="W103">
        <v>120.8</v>
      </c>
      <c r="X103">
        <v>123</v>
      </c>
      <c r="Y103">
        <v>120.4</v>
      </c>
      <c r="Z103">
        <v>111.4</v>
      </c>
      <c r="AA103">
        <v>118.7</v>
      </c>
      <c r="AB103">
        <v>125.9</v>
      </c>
      <c r="AC103">
        <v>113.9</v>
      </c>
      <c r="AD103">
        <v>117.9</v>
      </c>
      <c r="AE103">
        <v>126.1</v>
      </c>
    </row>
    <row r="104" spans="1:31"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c r="Q104">
        <v>132.4</v>
      </c>
      <c r="R104">
        <v>132.19999999999999</v>
      </c>
      <c r="S104">
        <v>132.1</v>
      </c>
      <c r="T104">
        <v>128.19999999999999</v>
      </c>
      <c r="U104">
        <v>131.5</v>
      </c>
      <c r="V104" t="s">
        <v>32</v>
      </c>
      <c r="W104">
        <v>125.6</v>
      </c>
      <c r="X104">
        <v>125.6</v>
      </c>
      <c r="Y104">
        <v>122.6</v>
      </c>
      <c r="Z104">
        <v>114</v>
      </c>
      <c r="AA104">
        <v>120.9</v>
      </c>
      <c r="AB104">
        <v>125.8</v>
      </c>
      <c r="AC104">
        <v>114.2</v>
      </c>
      <c r="AD104">
        <v>119.6</v>
      </c>
      <c r="AE104">
        <v>128.30000000000001</v>
      </c>
    </row>
    <row r="105" spans="1:31"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c r="Q105">
        <v>133.30000000000001</v>
      </c>
      <c r="R105">
        <v>137.6</v>
      </c>
      <c r="S105">
        <v>125</v>
      </c>
      <c r="T105">
        <v>119.3</v>
      </c>
      <c r="U105">
        <v>124.2</v>
      </c>
      <c r="V105">
        <v>122.9</v>
      </c>
      <c r="W105">
        <v>115.1</v>
      </c>
      <c r="X105">
        <v>121</v>
      </c>
      <c r="Y105">
        <v>118.1</v>
      </c>
      <c r="Z105">
        <v>109.3</v>
      </c>
      <c r="AA105">
        <v>117.9</v>
      </c>
      <c r="AB105">
        <v>126.6</v>
      </c>
      <c r="AC105">
        <v>113.3</v>
      </c>
      <c r="AD105">
        <v>116.6</v>
      </c>
      <c r="AE105">
        <v>124.6</v>
      </c>
    </row>
    <row r="106" spans="1:31"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row>
    <row r="107" spans="1:31"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c r="Q107">
        <v>131.4</v>
      </c>
      <c r="R107">
        <v>133.1</v>
      </c>
      <c r="S107">
        <v>132.5</v>
      </c>
      <c r="T107">
        <v>128.5</v>
      </c>
      <c r="U107">
        <v>131.9</v>
      </c>
      <c r="V107" t="s">
        <v>32</v>
      </c>
      <c r="W107">
        <v>125.7</v>
      </c>
      <c r="X107">
        <v>126</v>
      </c>
      <c r="Y107">
        <v>123.1</v>
      </c>
      <c r="Z107">
        <v>114</v>
      </c>
      <c r="AA107">
        <v>121.6</v>
      </c>
      <c r="AB107">
        <v>125.6</v>
      </c>
      <c r="AC107">
        <v>114.1</v>
      </c>
      <c r="AD107">
        <v>119.8</v>
      </c>
      <c r="AE107">
        <v>127.9</v>
      </c>
    </row>
    <row r="108" spans="1:31"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c r="Q108">
        <v>131.5</v>
      </c>
      <c r="R108">
        <v>138.19999999999999</v>
      </c>
      <c r="S108">
        <v>125.4</v>
      </c>
      <c r="T108">
        <v>119.5</v>
      </c>
      <c r="U108">
        <v>124.5</v>
      </c>
      <c r="V108">
        <v>122.4</v>
      </c>
      <c r="W108">
        <v>116</v>
      </c>
      <c r="X108">
        <v>121</v>
      </c>
      <c r="Y108">
        <v>118.6</v>
      </c>
      <c r="Z108">
        <v>109.3</v>
      </c>
      <c r="AA108">
        <v>118.1</v>
      </c>
      <c r="AB108">
        <v>126.6</v>
      </c>
      <c r="AC108">
        <v>113.2</v>
      </c>
      <c r="AD108">
        <v>116.7</v>
      </c>
      <c r="AE108">
        <v>124</v>
      </c>
    </row>
    <row r="109" spans="1:31"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c r="Q109">
        <v>131.4</v>
      </c>
      <c r="R109">
        <v>134.5</v>
      </c>
      <c r="S109">
        <v>129.69999999999999</v>
      </c>
      <c r="T109">
        <v>124.8</v>
      </c>
      <c r="U109">
        <v>129</v>
      </c>
      <c r="V109">
        <v>122.4</v>
      </c>
      <c r="W109">
        <v>122</v>
      </c>
      <c r="X109">
        <v>123.6</v>
      </c>
      <c r="Y109">
        <v>121.4</v>
      </c>
      <c r="Z109">
        <v>111.5</v>
      </c>
      <c r="AA109">
        <v>119.6</v>
      </c>
      <c r="AB109">
        <v>126.2</v>
      </c>
      <c r="AC109">
        <v>113.7</v>
      </c>
      <c r="AD109">
        <v>118.3</v>
      </c>
      <c r="AE109">
        <v>126.1</v>
      </c>
    </row>
    <row r="110" spans="1:31"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c r="Q110">
        <v>131.4</v>
      </c>
      <c r="R110">
        <v>133.6</v>
      </c>
      <c r="S110">
        <v>133.19999999999999</v>
      </c>
      <c r="T110">
        <v>128.9</v>
      </c>
      <c r="U110">
        <v>132.6</v>
      </c>
      <c r="V110" t="s">
        <v>32</v>
      </c>
      <c r="W110">
        <v>126.2</v>
      </c>
      <c r="X110">
        <v>126.6</v>
      </c>
      <c r="Y110">
        <v>123.7</v>
      </c>
      <c r="Z110">
        <v>113.6</v>
      </c>
      <c r="AA110">
        <v>121.4</v>
      </c>
      <c r="AB110">
        <v>126.2</v>
      </c>
      <c r="AC110">
        <v>114.9</v>
      </c>
      <c r="AD110">
        <v>120.1</v>
      </c>
      <c r="AE110">
        <v>128.1</v>
      </c>
    </row>
    <row r="111" spans="1:31"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c r="Q111">
        <v>131.19999999999999</v>
      </c>
      <c r="R111">
        <v>139.5</v>
      </c>
      <c r="S111">
        <v>125.8</v>
      </c>
      <c r="T111">
        <v>119.8</v>
      </c>
      <c r="U111">
        <v>124.9</v>
      </c>
      <c r="V111">
        <v>123.4</v>
      </c>
      <c r="W111">
        <v>116.9</v>
      </c>
      <c r="X111">
        <v>121.6</v>
      </c>
      <c r="Y111">
        <v>119.1</v>
      </c>
      <c r="Z111">
        <v>108.9</v>
      </c>
      <c r="AA111">
        <v>118.5</v>
      </c>
      <c r="AB111">
        <v>126.4</v>
      </c>
      <c r="AC111">
        <v>114</v>
      </c>
      <c r="AD111">
        <v>116.8</v>
      </c>
      <c r="AE111">
        <v>124.2</v>
      </c>
    </row>
    <row r="112" spans="1:31"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row>
    <row r="113" spans="1:31"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c r="Q113">
        <v>130.30000000000001</v>
      </c>
      <c r="R113">
        <v>134.4</v>
      </c>
      <c r="S113">
        <v>133.9</v>
      </c>
      <c r="T113">
        <v>129.80000000000001</v>
      </c>
      <c r="U113">
        <v>133.4</v>
      </c>
      <c r="V113" t="s">
        <v>32</v>
      </c>
      <c r="W113">
        <v>127.5</v>
      </c>
      <c r="X113">
        <v>127.1</v>
      </c>
      <c r="Y113">
        <v>124.3</v>
      </c>
      <c r="Z113">
        <v>113.9</v>
      </c>
      <c r="AA113">
        <v>122.3</v>
      </c>
      <c r="AB113">
        <v>127.1</v>
      </c>
      <c r="AC113">
        <v>116.8</v>
      </c>
      <c r="AD113">
        <v>120.9</v>
      </c>
      <c r="AE113">
        <v>127.9</v>
      </c>
    </row>
    <row r="114" spans="1:31"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c r="Q114">
        <v>129.1</v>
      </c>
      <c r="R114">
        <v>140</v>
      </c>
      <c r="S114">
        <v>126.2</v>
      </c>
      <c r="T114">
        <v>120.1</v>
      </c>
      <c r="U114">
        <v>125.3</v>
      </c>
      <c r="V114">
        <v>124.4</v>
      </c>
      <c r="W114">
        <v>116</v>
      </c>
      <c r="X114">
        <v>121.8</v>
      </c>
      <c r="Y114">
        <v>119.5</v>
      </c>
      <c r="Z114">
        <v>109.1</v>
      </c>
      <c r="AA114">
        <v>118.8</v>
      </c>
      <c r="AB114">
        <v>126.3</v>
      </c>
      <c r="AC114">
        <v>116.2</v>
      </c>
      <c r="AD114">
        <v>117.2</v>
      </c>
      <c r="AE114">
        <v>123.8</v>
      </c>
    </row>
    <row r="115" spans="1:31"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c r="Q115">
        <v>129.9</v>
      </c>
      <c r="R115">
        <v>135.9</v>
      </c>
      <c r="S115">
        <v>130.9</v>
      </c>
      <c r="T115">
        <v>125.8</v>
      </c>
      <c r="U115">
        <v>130.19999999999999</v>
      </c>
      <c r="V115">
        <v>124.4</v>
      </c>
      <c r="W115">
        <v>123.1</v>
      </c>
      <c r="X115">
        <v>124.6</v>
      </c>
      <c r="Y115">
        <v>122.5</v>
      </c>
      <c r="Z115">
        <v>111.4</v>
      </c>
      <c r="AA115">
        <v>120.3</v>
      </c>
      <c r="AB115">
        <v>126.6</v>
      </c>
      <c r="AC115">
        <v>116.6</v>
      </c>
      <c r="AD115">
        <v>119.1</v>
      </c>
      <c r="AE115">
        <v>126</v>
      </c>
    </row>
    <row r="116" spans="1:31"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c r="Q116">
        <v>130.4</v>
      </c>
      <c r="R116">
        <v>135</v>
      </c>
      <c r="S116">
        <v>134.4</v>
      </c>
      <c r="T116">
        <v>130.19999999999999</v>
      </c>
      <c r="U116">
        <v>133.80000000000001</v>
      </c>
      <c r="V116" t="s">
        <v>32</v>
      </c>
      <c r="W116">
        <v>127</v>
      </c>
      <c r="X116">
        <v>127.7</v>
      </c>
      <c r="Y116">
        <v>124.8</v>
      </c>
      <c r="Z116">
        <v>113.6</v>
      </c>
      <c r="AA116">
        <v>122.5</v>
      </c>
      <c r="AB116">
        <v>127.5</v>
      </c>
      <c r="AC116">
        <v>117.4</v>
      </c>
      <c r="AD116">
        <v>121.1</v>
      </c>
      <c r="AE116">
        <v>128</v>
      </c>
    </row>
    <row r="117" spans="1:31"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c r="Q117">
        <v>128.9</v>
      </c>
      <c r="R117">
        <v>140.6</v>
      </c>
      <c r="S117">
        <v>126.4</v>
      </c>
      <c r="T117">
        <v>120.3</v>
      </c>
      <c r="U117">
        <v>125.5</v>
      </c>
      <c r="V117">
        <v>124.9</v>
      </c>
      <c r="W117">
        <v>114.8</v>
      </c>
      <c r="X117">
        <v>122.3</v>
      </c>
      <c r="Y117">
        <v>119.7</v>
      </c>
      <c r="Z117">
        <v>108.5</v>
      </c>
      <c r="AA117">
        <v>119.1</v>
      </c>
      <c r="AB117">
        <v>126.4</v>
      </c>
      <c r="AC117">
        <v>117.1</v>
      </c>
      <c r="AD117">
        <v>117.3</v>
      </c>
      <c r="AE117">
        <v>123.8</v>
      </c>
    </row>
    <row r="118" spans="1:31"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row>
    <row r="119" spans="1:31"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c r="Q119">
        <v>131.80000000000001</v>
      </c>
      <c r="R119">
        <v>135.5</v>
      </c>
      <c r="S119">
        <v>135</v>
      </c>
      <c r="T119">
        <v>130.6</v>
      </c>
      <c r="U119">
        <v>134.4</v>
      </c>
      <c r="V119" t="s">
        <v>32</v>
      </c>
      <c r="W119">
        <v>127</v>
      </c>
      <c r="X119">
        <v>128</v>
      </c>
      <c r="Y119">
        <v>125.2</v>
      </c>
      <c r="Z119">
        <v>114.4</v>
      </c>
      <c r="AA119">
        <v>123.2</v>
      </c>
      <c r="AB119">
        <v>127.9</v>
      </c>
      <c r="AC119">
        <v>118.4</v>
      </c>
      <c r="AD119">
        <v>121.7</v>
      </c>
      <c r="AE119">
        <v>129</v>
      </c>
    </row>
    <row r="120" spans="1:31"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c r="Q120">
        <v>131.80000000000001</v>
      </c>
      <c r="R120">
        <v>141.5</v>
      </c>
      <c r="S120">
        <v>126.8</v>
      </c>
      <c r="T120">
        <v>120.5</v>
      </c>
      <c r="U120">
        <v>125.8</v>
      </c>
      <c r="V120">
        <v>125.6</v>
      </c>
      <c r="W120">
        <v>114.6</v>
      </c>
      <c r="X120">
        <v>122.8</v>
      </c>
      <c r="Y120">
        <v>120</v>
      </c>
      <c r="Z120">
        <v>110</v>
      </c>
      <c r="AA120">
        <v>119.5</v>
      </c>
      <c r="AB120">
        <v>127.6</v>
      </c>
      <c r="AC120">
        <v>117.6</v>
      </c>
      <c r="AD120">
        <v>118.2</v>
      </c>
      <c r="AE120">
        <v>125.3</v>
      </c>
    </row>
    <row r="121" spans="1:31"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row>
    <row r="122" spans="1:31"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c r="Q122">
        <v>133.6</v>
      </c>
      <c r="R122">
        <v>136</v>
      </c>
      <c r="S122">
        <v>135.4</v>
      </c>
      <c r="T122">
        <v>131.1</v>
      </c>
      <c r="U122">
        <v>134.80000000000001</v>
      </c>
      <c r="V122" t="s">
        <v>32</v>
      </c>
      <c r="W122">
        <v>127.4</v>
      </c>
      <c r="X122">
        <v>128.5</v>
      </c>
      <c r="Y122">
        <v>125.8</v>
      </c>
      <c r="Z122">
        <v>115.1</v>
      </c>
      <c r="AA122">
        <v>123.6</v>
      </c>
      <c r="AB122">
        <v>129.1</v>
      </c>
      <c r="AC122">
        <v>119.7</v>
      </c>
      <c r="AD122">
        <v>122.5</v>
      </c>
      <c r="AE122">
        <v>130.30000000000001</v>
      </c>
    </row>
    <row r="123" spans="1:31"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c r="Q123">
        <v>134.6</v>
      </c>
      <c r="R123">
        <v>142.19999999999999</v>
      </c>
      <c r="S123">
        <v>127.2</v>
      </c>
      <c r="T123">
        <v>120.7</v>
      </c>
      <c r="U123">
        <v>126.2</v>
      </c>
      <c r="V123">
        <v>126</v>
      </c>
      <c r="W123">
        <v>115</v>
      </c>
      <c r="X123">
        <v>123.2</v>
      </c>
      <c r="Y123">
        <v>120.3</v>
      </c>
      <c r="Z123">
        <v>110.7</v>
      </c>
      <c r="AA123">
        <v>119.8</v>
      </c>
      <c r="AB123">
        <v>128</v>
      </c>
      <c r="AC123">
        <v>118.5</v>
      </c>
      <c r="AD123">
        <v>118.7</v>
      </c>
      <c r="AE123">
        <v>126.6</v>
      </c>
    </row>
    <row r="124" spans="1:31"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row>
    <row r="125" spans="1:31"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c r="Q125">
        <v>136</v>
      </c>
      <c r="R125">
        <v>137.19999999999999</v>
      </c>
      <c r="S125">
        <v>136.30000000000001</v>
      </c>
      <c r="T125">
        <v>131.6</v>
      </c>
      <c r="U125">
        <v>135.6</v>
      </c>
      <c r="V125" t="s">
        <v>32</v>
      </c>
      <c r="W125">
        <v>128</v>
      </c>
      <c r="X125">
        <v>129.30000000000001</v>
      </c>
      <c r="Y125">
        <v>126.2</v>
      </c>
      <c r="Z125">
        <v>116.3</v>
      </c>
      <c r="AA125">
        <v>124.1</v>
      </c>
      <c r="AB125">
        <v>130.19999999999999</v>
      </c>
      <c r="AC125">
        <v>119.9</v>
      </c>
      <c r="AD125">
        <v>123.3</v>
      </c>
      <c r="AE125">
        <v>131.9</v>
      </c>
    </row>
    <row r="126" spans="1:31"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row>
    <row r="127" spans="1:31"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row>
    <row r="128" spans="1:31"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c r="Q128">
        <v>137.6</v>
      </c>
      <c r="R128">
        <v>138</v>
      </c>
      <c r="S128">
        <v>137.19999999999999</v>
      </c>
      <c r="T128">
        <v>132.19999999999999</v>
      </c>
      <c r="U128">
        <v>136.5</v>
      </c>
      <c r="V128" t="s">
        <v>32</v>
      </c>
      <c r="W128">
        <v>128.19999999999999</v>
      </c>
      <c r="X128">
        <v>130</v>
      </c>
      <c r="Y128">
        <v>126.7</v>
      </c>
      <c r="Z128">
        <v>116.4</v>
      </c>
      <c r="AA128">
        <v>125.2</v>
      </c>
      <c r="AB128">
        <v>130.80000000000001</v>
      </c>
      <c r="AC128">
        <v>120.9</v>
      </c>
      <c r="AD128">
        <v>123.8</v>
      </c>
      <c r="AE128">
        <v>133</v>
      </c>
    </row>
    <row r="129" spans="1:31"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row>
    <row r="130" spans="1:31"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row>
    <row r="131" spans="1:31"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c r="Q131">
        <v>138</v>
      </c>
      <c r="R131">
        <v>138.9</v>
      </c>
      <c r="S131">
        <v>137.80000000000001</v>
      </c>
      <c r="T131">
        <v>133</v>
      </c>
      <c r="U131">
        <v>137.1</v>
      </c>
      <c r="V131" t="s">
        <v>32</v>
      </c>
      <c r="W131">
        <v>129.1</v>
      </c>
      <c r="X131">
        <v>130.6</v>
      </c>
      <c r="Y131">
        <v>127</v>
      </c>
      <c r="Z131">
        <v>116</v>
      </c>
      <c r="AA131">
        <v>125.5</v>
      </c>
      <c r="AB131">
        <v>131.9</v>
      </c>
      <c r="AC131">
        <v>122</v>
      </c>
      <c r="AD131">
        <v>124.2</v>
      </c>
      <c r="AE131">
        <v>133.5</v>
      </c>
    </row>
    <row r="132" spans="1:31"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c r="Q132">
        <v>137.6</v>
      </c>
      <c r="R132">
        <v>143.6</v>
      </c>
      <c r="S132">
        <v>128.30000000000001</v>
      </c>
      <c r="T132">
        <v>121.4</v>
      </c>
      <c r="U132">
        <v>127.3</v>
      </c>
      <c r="V132">
        <v>127.3</v>
      </c>
      <c r="W132">
        <v>114.7</v>
      </c>
      <c r="X132">
        <v>123.9</v>
      </c>
      <c r="Y132">
        <v>121.2</v>
      </c>
      <c r="Z132">
        <v>110.4</v>
      </c>
      <c r="AA132">
        <v>120.6</v>
      </c>
      <c r="AB132">
        <v>131.5</v>
      </c>
      <c r="AC132">
        <v>120.9</v>
      </c>
      <c r="AD132">
        <v>119.9</v>
      </c>
      <c r="AE132">
        <v>128.4</v>
      </c>
    </row>
    <row r="133" spans="1:31"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row>
    <row r="134" spans="1:31"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c r="Q134">
        <v>137.19999999999999</v>
      </c>
      <c r="R134">
        <v>139.9</v>
      </c>
      <c r="S134">
        <v>138.5</v>
      </c>
      <c r="T134">
        <v>133.5</v>
      </c>
      <c r="U134">
        <v>137.80000000000001</v>
      </c>
      <c r="V134" t="s">
        <v>32</v>
      </c>
      <c r="W134">
        <v>129.69999999999999</v>
      </c>
      <c r="X134">
        <v>131.1</v>
      </c>
      <c r="Y134">
        <v>127.8</v>
      </c>
      <c r="Z134">
        <v>117</v>
      </c>
      <c r="AA134">
        <v>125.7</v>
      </c>
      <c r="AB134">
        <v>132.19999999999999</v>
      </c>
      <c r="AC134">
        <v>122.8</v>
      </c>
      <c r="AD134">
        <v>124.9</v>
      </c>
      <c r="AE134">
        <v>133.4</v>
      </c>
    </row>
    <row r="135" spans="1:31"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row>
    <row r="136" spans="1:31"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row>
    <row r="137" spans="1:31"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c r="Q137">
        <v>137.4</v>
      </c>
      <c r="R137">
        <v>140.9</v>
      </c>
      <c r="S137">
        <v>139.6</v>
      </c>
      <c r="T137">
        <v>134.30000000000001</v>
      </c>
      <c r="U137">
        <v>138.80000000000001</v>
      </c>
      <c r="V137" t="s">
        <v>32</v>
      </c>
      <c r="W137">
        <v>129.80000000000001</v>
      </c>
      <c r="X137">
        <v>131.80000000000001</v>
      </c>
      <c r="Y137">
        <v>128.69999999999999</v>
      </c>
      <c r="Z137">
        <v>117.8</v>
      </c>
      <c r="AA137">
        <v>126.5</v>
      </c>
      <c r="AB137">
        <v>133</v>
      </c>
      <c r="AC137">
        <v>123</v>
      </c>
      <c r="AD137">
        <v>125.7</v>
      </c>
      <c r="AE137">
        <v>133.80000000000001</v>
      </c>
    </row>
    <row r="138" spans="1:31"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row>
    <row r="139" spans="1:31"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row>
    <row r="140" spans="1:31"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c r="Q140">
        <v>136.6</v>
      </c>
      <c r="R140">
        <v>141.19999999999999</v>
      </c>
      <c r="S140">
        <v>139.9</v>
      </c>
      <c r="T140">
        <v>134.5</v>
      </c>
      <c r="U140">
        <v>139.19999999999999</v>
      </c>
      <c r="V140" t="s">
        <v>32</v>
      </c>
      <c r="W140">
        <v>130.30000000000001</v>
      </c>
      <c r="X140">
        <v>132.1</v>
      </c>
      <c r="Y140">
        <v>129.1</v>
      </c>
      <c r="Z140">
        <v>118.2</v>
      </c>
      <c r="AA140">
        <v>126.9</v>
      </c>
      <c r="AB140">
        <v>133.69999999999999</v>
      </c>
      <c r="AC140">
        <v>123.5</v>
      </c>
      <c r="AD140">
        <v>126.1</v>
      </c>
      <c r="AE140">
        <v>133.6</v>
      </c>
    </row>
    <row r="141" spans="1:31"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row>
    <row r="142" spans="1:31"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row>
    <row r="143" spans="1:31"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c r="Q143">
        <v>134.69999999999999</v>
      </c>
      <c r="R143">
        <v>142.4</v>
      </c>
      <c r="S143">
        <v>140.4</v>
      </c>
      <c r="T143">
        <v>135.19999999999999</v>
      </c>
      <c r="U143">
        <v>139.69999999999999</v>
      </c>
      <c r="V143" t="s">
        <v>32</v>
      </c>
      <c r="W143">
        <v>132</v>
      </c>
      <c r="X143">
        <v>132.9</v>
      </c>
      <c r="Y143">
        <v>129.69999999999999</v>
      </c>
      <c r="Z143">
        <v>118.6</v>
      </c>
      <c r="AA143">
        <v>127.3</v>
      </c>
      <c r="AB143">
        <v>134.19999999999999</v>
      </c>
      <c r="AC143">
        <v>121.9</v>
      </c>
      <c r="AD143">
        <v>126.3</v>
      </c>
      <c r="AE143">
        <v>132.80000000000001</v>
      </c>
    </row>
    <row r="144" spans="1:31"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row>
    <row r="145" spans="1:31"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row>
    <row r="146" spans="1:31"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c r="Q146">
        <v>133.69999999999999</v>
      </c>
      <c r="R146">
        <v>143.1</v>
      </c>
      <c r="S146">
        <v>140.69999999999999</v>
      </c>
      <c r="T146">
        <v>135.80000000000001</v>
      </c>
      <c r="U146">
        <v>140</v>
      </c>
      <c r="V146" t="s">
        <v>32</v>
      </c>
      <c r="W146">
        <v>132.1</v>
      </c>
      <c r="X146">
        <v>133.19999999999999</v>
      </c>
      <c r="Y146">
        <v>129.9</v>
      </c>
      <c r="Z146">
        <v>119.1</v>
      </c>
      <c r="AA146">
        <v>127</v>
      </c>
      <c r="AB146">
        <v>134.6</v>
      </c>
      <c r="AC146">
        <v>122.3</v>
      </c>
      <c r="AD146">
        <v>126.6</v>
      </c>
      <c r="AE146">
        <v>132.4</v>
      </c>
    </row>
    <row r="147" spans="1:31"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c r="Q147">
        <v>132</v>
      </c>
      <c r="R147">
        <v>145.6</v>
      </c>
      <c r="S147">
        <v>130.19999999999999</v>
      </c>
      <c r="T147">
        <v>122.3</v>
      </c>
      <c r="U147">
        <v>129</v>
      </c>
      <c r="V147">
        <v>129.6</v>
      </c>
      <c r="W147">
        <v>118</v>
      </c>
      <c r="X147">
        <v>125.1</v>
      </c>
      <c r="Y147">
        <v>122.6</v>
      </c>
      <c r="Z147">
        <v>115.2</v>
      </c>
      <c r="AA147">
        <v>122</v>
      </c>
      <c r="AB147">
        <v>132.4</v>
      </c>
      <c r="AC147">
        <v>120.9</v>
      </c>
      <c r="AD147">
        <v>122.1</v>
      </c>
      <c r="AE147">
        <v>127.8</v>
      </c>
    </row>
    <row r="148" spans="1:31"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row>
    <row r="149" spans="1:31"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c r="Q149">
        <v>133.6</v>
      </c>
      <c r="R149">
        <v>143.69999999999999</v>
      </c>
      <c r="S149">
        <v>140.9</v>
      </c>
      <c r="T149">
        <v>135.80000000000001</v>
      </c>
      <c r="U149">
        <v>140.19999999999999</v>
      </c>
      <c r="V149" t="s">
        <v>32</v>
      </c>
      <c r="W149">
        <v>133.19999999999999</v>
      </c>
      <c r="X149">
        <v>133.6</v>
      </c>
      <c r="Y149">
        <v>130.1</v>
      </c>
      <c r="Z149">
        <v>119.5</v>
      </c>
      <c r="AA149">
        <v>127.7</v>
      </c>
      <c r="AB149">
        <v>134.9</v>
      </c>
      <c r="AC149">
        <v>123.2</v>
      </c>
      <c r="AD149">
        <v>127</v>
      </c>
      <c r="AE149">
        <v>132.6</v>
      </c>
    </row>
    <row r="150" spans="1:31"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row>
    <row r="151" spans="1:31"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row>
    <row r="152" spans="1:31"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c r="Q152">
        <v>133.4</v>
      </c>
      <c r="R152">
        <v>144.19999999999999</v>
      </c>
      <c r="S152">
        <v>141.6</v>
      </c>
      <c r="T152">
        <v>136.19999999999999</v>
      </c>
      <c r="U152">
        <v>140.80000000000001</v>
      </c>
      <c r="V152" t="s">
        <v>32</v>
      </c>
      <c r="W152">
        <v>134.19999999999999</v>
      </c>
      <c r="X152">
        <v>134.1</v>
      </c>
      <c r="Y152">
        <v>130.6</v>
      </c>
      <c r="Z152">
        <v>119.8</v>
      </c>
      <c r="AA152">
        <v>128.30000000000001</v>
      </c>
      <c r="AB152">
        <v>135.19999999999999</v>
      </c>
      <c r="AC152">
        <v>123.3</v>
      </c>
      <c r="AD152">
        <v>127.4</v>
      </c>
      <c r="AE152">
        <v>132.80000000000001</v>
      </c>
    </row>
    <row r="153" spans="1:31"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row>
    <row r="154" spans="1:31"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row>
    <row r="155" spans="1:31"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c r="Q155">
        <v>133.5</v>
      </c>
      <c r="R155">
        <v>144.4</v>
      </c>
      <c r="S155">
        <v>142.4</v>
      </c>
      <c r="T155">
        <v>136.80000000000001</v>
      </c>
      <c r="U155">
        <v>141.6</v>
      </c>
      <c r="V155" t="s">
        <v>32</v>
      </c>
      <c r="W155">
        <v>135</v>
      </c>
      <c r="X155">
        <v>134.30000000000001</v>
      </c>
      <c r="Y155">
        <v>131</v>
      </c>
      <c r="Z155">
        <v>119.2</v>
      </c>
      <c r="AA155">
        <v>128.30000000000001</v>
      </c>
      <c r="AB155">
        <v>135.69999999999999</v>
      </c>
      <c r="AC155">
        <v>123.7</v>
      </c>
      <c r="AD155">
        <v>127.5</v>
      </c>
      <c r="AE155">
        <v>132.9</v>
      </c>
    </row>
    <row r="156" spans="1:31"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row>
    <row r="157" spans="1:31"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row>
    <row r="158" spans="1:31"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c r="Q158">
        <v>133.80000000000001</v>
      </c>
      <c r="R158">
        <v>145.5</v>
      </c>
      <c r="S158">
        <v>142.5</v>
      </c>
      <c r="T158">
        <v>137.30000000000001</v>
      </c>
      <c r="U158">
        <v>141.80000000000001</v>
      </c>
      <c r="V158" t="s">
        <v>32</v>
      </c>
      <c r="W158">
        <v>135</v>
      </c>
      <c r="X158">
        <v>134.9</v>
      </c>
      <c r="Y158">
        <v>131.4</v>
      </c>
      <c r="Z158">
        <v>119.4</v>
      </c>
      <c r="AA158">
        <v>129.4</v>
      </c>
      <c r="AB158">
        <v>136.30000000000001</v>
      </c>
      <c r="AC158">
        <v>123.7</v>
      </c>
      <c r="AD158">
        <v>127.9</v>
      </c>
      <c r="AE158">
        <v>133.30000000000001</v>
      </c>
    </row>
    <row r="159" spans="1:31"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row>
    <row r="160" spans="1:31"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row>
    <row r="161" spans="1:31"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c r="Q161">
        <v>134.9</v>
      </c>
      <c r="R161">
        <v>145.80000000000001</v>
      </c>
      <c r="S161">
        <v>143.1</v>
      </c>
      <c r="T161">
        <v>137.69999999999999</v>
      </c>
      <c r="U161">
        <v>142.30000000000001</v>
      </c>
      <c r="V161" t="s">
        <v>32</v>
      </c>
      <c r="W161">
        <v>134.80000000000001</v>
      </c>
      <c r="X161">
        <v>135.19999999999999</v>
      </c>
      <c r="Y161">
        <v>131.30000000000001</v>
      </c>
      <c r="Z161">
        <v>119.4</v>
      </c>
      <c r="AA161">
        <v>129.80000000000001</v>
      </c>
      <c r="AB161">
        <v>136.9</v>
      </c>
      <c r="AC161">
        <v>124.1</v>
      </c>
      <c r="AD161">
        <v>128.1</v>
      </c>
      <c r="AE161">
        <v>133.9</v>
      </c>
    </row>
    <row r="162" spans="1:31"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row>
    <row r="163" spans="1:31"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row>
    <row r="164" spans="1:31"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c r="Q164">
        <v>138.5</v>
      </c>
      <c r="R164">
        <v>147.4</v>
      </c>
      <c r="S164">
        <v>144.30000000000001</v>
      </c>
      <c r="T164">
        <v>138.1</v>
      </c>
      <c r="U164">
        <v>143.5</v>
      </c>
      <c r="V164" t="s">
        <v>32</v>
      </c>
      <c r="W164">
        <v>135.30000000000001</v>
      </c>
      <c r="X164">
        <v>136.1</v>
      </c>
      <c r="Y164">
        <v>132.1</v>
      </c>
      <c r="Z164">
        <v>119.1</v>
      </c>
      <c r="AA164">
        <v>130.6</v>
      </c>
      <c r="AB164">
        <v>138.6</v>
      </c>
      <c r="AC164">
        <v>124.4</v>
      </c>
      <c r="AD164">
        <v>128.6</v>
      </c>
      <c r="AE164">
        <v>136.19999999999999</v>
      </c>
    </row>
    <row r="165" spans="1:31"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row>
    <row r="166" spans="1:31"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row>
    <row r="167" spans="1:31"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c r="Q167">
        <v>140.6</v>
      </c>
      <c r="R167">
        <v>149</v>
      </c>
      <c r="S167">
        <v>145.30000000000001</v>
      </c>
      <c r="T167">
        <v>139.19999999999999</v>
      </c>
      <c r="U167">
        <v>144.5</v>
      </c>
      <c r="V167" t="s">
        <v>32</v>
      </c>
      <c r="W167">
        <v>136.4</v>
      </c>
      <c r="X167">
        <v>137.30000000000001</v>
      </c>
      <c r="Y167">
        <v>133</v>
      </c>
      <c r="Z167">
        <v>120.3</v>
      </c>
      <c r="AA167">
        <v>131.5</v>
      </c>
      <c r="AB167">
        <v>140.19999999999999</v>
      </c>
      <c r="AC167">
        <v>125.4</v>
      </c>
      <c r="AD167">
        <v>129.69999999999999</v>
      </c>
      <c r="AE167">
        <v>137.80000000000001</v>
      </c>
    </row>
    <row r="168" spans="1:31"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row>
    <row r="169" spans="1:31"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row>
    <row r="170" spans="1:31"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c r="Q170">
        <v>139.6</v>
      </c>
      <c r="R170">
        <v>149.80000000000001</v>
      </c>
      <c r="S170">
        <v>146.1</v>
      </c>
      <c r="T170">
        <v>139.69999999999999</v>
      </c>
      <c r="U170">
        <v>145.19999999999999</v>
      </c>
      <c r="V170" t="s">
        <v>32</v>
      </c>
      <c r="W170">
        <v>137.4</v>
      </c>
      <c r="X170">
        <v>137.9</v>
      </c>
      <c r="Y170">
        <v>133.4</v>
      </c>
      <c r="Z170">
        <v>121.2</v>
      </c>
      <c r="AA170">
        <v>132.30000000000001</v>
      </c>
      <c r="AB170">
        <v>139.6</v>
      </c>
      <c r="AC170">
        <v>126.7</v>
      </c>
      <c r="AD170">
        <v>130.30000000000001</v>
      </c>
      <c r="AE170">
        <v>137.6</v>
      </c>
    </row>
    <row r="171" spans="1:31"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row>
    <row r="172" spans="1:31"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row>
    <row r="173" spans="1:31"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c r="Q173">
        <v>140.4</v>
      </c>
      <c r="R173">
        <v>150.5</v>
      </c>
      <c r="S173">
        <v>147.19999999999999</v>
      </c>
      <c r="T173">
        <v>140.6</v>
      </c>
      <c r="U173">
        <v>146.19999999999999</v>
      </c>
      <c r="V173" t="s">
        <v>32</v>
      </c>
      <c r="W173">
        <v>138.1</v>
      </c>
      <c r="X173">
        <v>138.4</v>
      </c>
      <c r="Y173">
        <v>134.19999999999999</v>
      </c>
      <c r="Z173">
        <v>121</v>
      </c>
      <c r="AA173">
        <v>133</v>
      </c>
      <c r="AB173">
        <v>140.1</v>
      </c>
      <c r="AC173">
        <v>127.4</v>
      </c>
      <c r="AD173">
        <v>130.69999999999999</v>
      </c>
      <c r="AE173">
        <v>138.30000000000001</v>
      </c>
    </row>
    <row r="174" spans="1:31"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row>
    <row r="175" spans="1:31"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row>
    <row r="176" spans="1:31"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c r="Q176">
        <v>142.4</v>
      </c>
      <c r="R176">
        <v>152.1</v>
      </c>
      <c r="S176">
        <v>148.19999999999999</v>
      </c>
      <c r="T176">
        <v>141.5</v>
      </c>
      <c r="U176">
        <v>147.30000000000001</v>
      </c>
      <c r="V176" t="s">
        <v>32</v>
      </c>
      <c r="W176">
        <v>141.1</v>
      </c>
      <c r="X176">
        <v>139.4</v>
      </c>
      <c r="Y176">
        <v>135.80000000000001</v>
      </c>
      <c r="Z176">
        <v>121.6</v>
      </c>
      <c r="AA176">
        <v>133.69999999999999</v>
      </c>
      <c r="AB176">
        <v>141.5</v>
      </c>
      <c r="AC176">
        <v>128.1</v>
      </c>
      <c r="AD176">
        <v>131.69999999999999</v>
      </c>
      <c r="AE176">
        <v>140</v>
      </c>
    </row>
    <row r="177" spans="1:31"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row>
    <row r="178" spans="1:31"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row>
    <row r="179" spans="1:31"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c r="Q179">
        <v>141.5</v>
      </c>
      <c r="R179">
        <v>153.19999999999999</v>
      </c>
      <c r="S179">
        <v>148</v>
      </c>
      <c r="T179">
        <v>141.9</v>
      </c>
      <c r="U179">
        <v>147.19999999999999</v>
      </c>
      <c r="V179" t="s">
        <v>32</v>
      </c>
      <c r="W179">
        <v>142.6</v>
      </c>
      <c r="X179">
        <v>139.5</v>
      </c>
      <c r="Y179">
        <v>136.1</v>
      </c>
      <c r="Z179">
        <v>122</v>
      </c>
      <c r="AA179">
        <v>133.4</v>
      </c>
      <c r="AB179">
        <v>141.1</v>
      </c>
      <c r="AC179">
        <v>127.8</v>
      </c>
      <c r="AD179">
        <v>131.9</v>
      </c>
      <c r="AE179">
        <v>139.80000000000001</v>
      </c>
    </row>
    <row r="180" spans="1:31"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row>
    <row r="181" spans="1:31"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row>
    <row r="182" spans="1:31"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c r="Q182">
        <v>140.4</v>
      </c>
      <c r="R182">
        <v>153.6</v>
      </c>
      <c r="S182">
        <v>148.30000000000001</v>
      </c>
      <c r="T182">
        <v>142.30000000000001</v>
      </c>
      <c r="U182">
        <v>147.5</v>
      </c>
      <c r="V182" t="s">
        <v>32</v>
      </c>
      <c r="W182">
        <v>142.30000000000001</v>
      </c>
      <c r="X182">
        <v>139.80000000000001</v>
      </c>
      <c r="Y182">
        <v>136</v>
      </c>
      <c r="Z182">
        <v>122.7</v>
      </c>
      <c r="AA182">
        <v>134.30000000000001</v>
      </c>
      <c r="AB182">
        <v>141.6</v>
      </c>
      <c r="AC182">
        <v>128.6</v>
      </c>
      <c r="AD182">
        <v>132.30000000000001</v>
      </c>
      <c r="AE182">
        <v>139.30000000000001</v>
      </c>
    </row>
    <row r="183" spans="1:31"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row>
    <row r="184" spans="1:31"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row>
    <row r="185" spans="1:31"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c r="Q185">
        <v>138.69999999999999</v>
      </c>
      <c r="R185">
        <v>153.30000000000001</v>
      </c>
      <c r="S185">
        <v>148.69999999999999</v>
      </c>
      <c r="T185">
        <v>142.4</v>
      </c>
      <c r="U185">
        <v>147.80000000000001</v>
      </c>
      <c r="V185" t="s">
        <v>32</v>
      </c>
      <c r="W185">
        <v>142.4</v>
      </c>
      <c r="X185">
        <v>139.9</v>
      </c>
      <c r="Y185">
        <v>136.19999999999999</v>
      </c>
      <c r="Z185">
        <v>123.3</v>
      </c>
      <c r="AA185">
        <v>134.30000000000001</v>
      </c>
      <c r="AB185">
        <v>141.5</v>
      </c>
      <c r="AC185">
        <v>128.80000000000001</v>
      </c>
      <c r="AD185">
        <v>132.5</v>
      </c>
      <c r="AE185">
        <v>138.5</v>
      </c>
    </row>
    <row r="186" spans="1:31"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row>
    <row r="187" spans="1:31"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row>
    <row r="188" spans="1:31"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c r="Q188">
        <v>138.6</v>
      </c>
      <c r="R188">
        <v>155.1</v>
      </c>
      <c r="S188">
        <v>149.19999999999999</v>
      </c>
      <c r="T188">
        <v>143</v>
      </c>
      <c r="U188">
        <v>148.30000000000001</v>
      </c>
      <c r="V188" t="s">
        <v>32</v>
      </c>
      <c r="W188">
        <v>142.6</v>
      </c>
      <c r="X188">
        <v>139.9</v>
      </c>
      <c r="Y188">
        <v>136.69999999999999</v>
      </c>
      <c r="Z188">
        <v>124.6</v>
      </c>
      <c r="AA188">
        <v>135.1</v>
      </c>
      <c r="AB188">
        <v>142.69999999999999</v>
      </c>
      <c r="AC188">
        <v>129.30000000000001</v>
      </c>
      <c r="AD188">
        <v>133.30000000000001</v>
      </c>
      <c r="AE188">
        <v>138.69999999999999</v>
      </c>
    </row>
    <row r="189" spans="1:31"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row>
    <row r="190" spans="1:31"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row>
    <row r="191" spans="1:31"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c r="Q191">
        <v>138.6</v>
      </c>
      <c r="R191">
        <v>156.1</v>
      </c>
      <c r="S191">
        <v>150.1</v>
      </c>
      <c r="T191">
        <v>143.30000000000001</v>
      </c>
      <c r="U191">
        <v>149.1</v>
      </c>
      <c r="V191" t="s">
        <v>32</v>
      </c>
      <c r="W191">
        <v>143.80000000000001</v>
      </c>
      <c r="X191">
        <v>140.9</v>
      </c>
      <c r="Y191">
        <v>137.6</v>
      </c>
      <c r="Z191">
        <v>125.3</v>
      </c>
      <c r="AA191">
        <v>136</v>
      </c>
      <c r="AB191">
        <v>143.69999999999999</v>
      </c>
      <c r="AC191">
        <v>130.4</v>
      </c>
      <c r="AD191">
        <v>134.19999999999999</v>
      </c>
      <c r="AE191">
        <v>139.1</v>
      </c>
    </row>
    <row r="192" spans="1:31"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row>
    <row r="193" spans="1:31"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row>
    <row r="194" spans="1:31"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c r="Q194">
        <v>139.1</v>
      </c>
      <c r="R194">
        <v>157</v>
      </c>
      <c r="S194">
        <v>150.80000000000001</v>
      </c>
      <c r="T194">
        <v>144.1</v>
      </c>
      <c r="U194">
        <v>149.80000000000001</v>
      </c>
      <c r="V194" t="s">
        <v>32</v>
      </c>
      <c r="W194">
        <v>144.30000000000001</v>
      </c>
      <c r="X194">
        <v>141.80000000000001</v>
      </c>
      <c r="Y194">
        <v>138.4</v>
      </c>
      <c r="Z194">
        <v>126.4</v>
      </c>
      <c r="AA194">
        <v>136.80000000000001</v>
      </c>
      <c r="AB194">
        <v>144.4</v>
      </c>
      <c r="AC194">
        <v>131.19999999999999</v>
      </c>
      <c r="AD194">
        <v>135.1</v>
      </c>
      <c r="AE194">
        <v>139.80000000000001</v>
      </c>
    </row>
    <row r="195" spans="1:31"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row>
    <row r="196" spans="1:31"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row>
    <row r="197" spans="1:31"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c r="Q197">
        <v>140</v>
      </c>
      <c r="R197">
        <v>157.30000000000001</v>
      </c>
      <c r="S197">
        <v>151.30000000000001</v>
      </c>
      <c r="T197">
        <v>144.69999999999999</v>
      </c>
      <c r="U197">
        <v>150.30000000000001</v>
      </c>
      <c r="V197" t="s">
        <v>32</v>
      </c>
      <c r="W197">
        <v>145.1</v>
      </c>
      <c r="X197">
        <v>142.19999999999999</v>
      </c>
      <c r="Y197">
        <v>138.4</v>
      </c>
      <c r="Z197">
        <v>127.4</v>
      </c>
      <c r="AA197">
        <v>137.80000000000001</v>
      </c>
      <c r="AB197">
        <v>145.1</v>
      </c>
      <c r="AC197">
        <v>131.4</v>
      </c>
      <c r="AD197">
        <v>135.6</v>
      </c>
      <c r="AE197">
        <v>140.5</v>
      </c>
    </row>
    <row r="198" spans="1:31"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row>
    <row r="199" spans="1:31"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row>
    <row r="200" spans="1:31"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c r="Q200">
        <v>142</v>
      </c>
      <c r="R200">
        <v>156.1</v>
      </c>
      <c r="S200">
        <v>151.5</v>
      </c>
      <c r="T200">
        <v>145.1</v>
      </c>
      <c r="U200">
        <v>150.6</v>
      </c>
      <c r="V200" t="s">
        <v>32</v>
      </c>
      <c r="W200">
        <v>146.80000000000001</v>
      </c>
      <c r="X200">
        <v>143.1</v>
      </c>
      <c r="Y200">
        <v>139</v>
      </c>
      <c r="Z200">
        <v>127.5</v>
      </c>
      <c r="AA200">
        <v>138.4</v>
      </c>
      <c r="AB200">
        <v>145.80000000000001</v>
      </c>
      <c r="AC200">
        <v>131.4</v>
      </c>
      <c r="AD200">
        <v>136</v>
      </c>
      <c r="AE200">
        <v>141.80000000000001</v>
      </c>
    </row>
    <row r="201" spans="1:31"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row>
    <row r="202" spans="1:31"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row>
    <row r="203" spans="1:31"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c r="Q203">
        <v>142.69999999999999</v>
      </c>
      <c r="R203">
        <v>156.4</v>
      </c>
      <c r="S203">
        <v>152.1</v>
      </c>
      <c r="T203">
        <v>145.80000000000001</v>
      </c>
      <c r="U203">
        <v>151.30000000000001</v>
      </c>
      <c r="V203" t="s">
        <v>32</v>
      </c>
      <c r="W203">
        <v>147.69999999999999</v>
      </c>
      <c r="X203">
        <v>143.80000000000001</v>
      </c>
      <c r="Y203">
        <v>139.4</v>
      </c>
      <c r="Z203">
        <v>128.30000000000001</v>
      </c>
      <c r="AA203">
        <v>138.6</v>
      </c>
      <c r="AB203">
        <v>146.9</v>
      </c>
      <c r="AC203">
        <v>131.30000000000001</v>
      </c>
      <c r="AD203">
        <v>136.6</v>
      </c>
      <c r="AE203">
        <v>142.5</v>
      </c>
    </row>
    <row r="204" spans="1:31"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row>
    <row r="205" spans="1:31"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row>
    <row r="206" spans="1:31"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c r="Q206">
        <v>141.30000000000001</v>
      </c>
      <c r="R206">
        <v>157.69999999999999</v>
      </c>
      <c r="S206">
        <v>152.1</v>
      </c>
      <c r="T206">
        <v>146.1</v>
      </c>
      <c r="U206">
        <v>151.30000000000001</v>
      </c>
      <c r="V206" t="s">
        <v>32</v>
      </c>
      <c r="W206">
        <v>149</v>
      </c>
      <c r="X206">
        <v>144</v>
      </c>
      <c r="Y206">
        <v>140</v>
      </c>
      <c r="Z206">
        <v>129.9</v>
      </c>
      <c r="AA206">
        <v>140</v>
      </c>
      <c r="AB206">
        <v>147.6</v>
      </c>
      <c r="AC206">
        <v>132</v>
      </c>
      <c r="AD206">
        <v>137.4</v>
      </c>
      <c r="AE206">
        <v>142.1</v>
      </c>
    </row>
    <row r="207" spans="1:31"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row>
    <row r="208" spans="1:31"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row>
    <row r="209" spans="1:31"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c r="Q209">
        <v>140.19999999999999</v>
      </c>
      <c r="R209">
        <v>159.6</v>
      </c>
      <c r="S209">
        <v>150.69999999999999</v>
      </c>
      <c r="T209">
        <v>144.5</v>
      </c>
      <c r="U209">
        <v>149.80000000000001</v>
      </c>
      <c r="V209" t="s">
        <v>32</v>
      </c>
      <c r="W209">
        <v>149.69999999999999</v>
      </c>
      <c r="X209">
        <v>147.5</v>
      </c>
      <c r="Y209">
        <v>144.80000000000001</v>
      </c>
      <c r="Z209">
        <v>130.80000000000001</v>
      </c>
      <c r="AA209">
        <v>140.1</v>
      </c>
      <c r="AB209">
        <v>148</v>
      </c>
      <c r="AC209">
        <v>134.4</v>
      </c>
      <c r="AD209">
        <v>139.80000000000001</v>
      </c>
      <c r="AE209">
        <v>142.19999999999999</v>
      </c>
    </row>
    <row r="210" spans="1:31"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row>
    <row r="211" spans="1:31"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row>
    <row r="212" spans="1:31"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c r="Q212">
        <v>140</v>
      </c>
      <c r="R212">
        <v>161.9</v>
      </c>
      <c r="S212">
        <v>151.69999999999999</v>
      </c>
      <c r="T212">
        <v>145.5</v>
      </c>
      <c r="U212">
        <v>150.80000000000001</v>
      </c>
      <c r="V212" t="s">
        <v>32</v>
      </c>
      <c r="W212">
        <v>150.30000000000001</v>
      </c>
      <c r="X212">
        <v>148</v>
      </c>
      <c r="Y212">
        <v>145.4</v>
      </c>
      <c r="Z212">
        <v>130.30000000000001</v>
      </c>
      <c r="AA212">
        <v>143.1</v>
      </c>
      <c r="AB212">
        <v>150.19999999999999</v>
      </c>
      <c r="AC212">
        <v>133.1</v>
      </c>
      <c r="AD212">
        <v>140.1</v>
      </c>
      <c r="AE212">
        <v>142.4</v>
      </c>
    </row>
    <row r="213" spans="1:31"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row>
    <row r="214" spans="1:31"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row>
    <row r="215" spans="1:31"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c r="Q215">
        <v>138.5</v>
      </c>
      <c r="R215">
        <v>162.4</v>
      </c>
      <c r="S215">
        <v>151.6</v>
      </c>
      <c r="T215">
        <v>145.9</v>
      </c>
      <c r="U215">
        <v>150.80000000000001</v>
      </c>
      <c r="V215" t="s">
        <v>32</v>
      </c>
      <c r="W215">
        <v>149</v>
      </c>
      <c r="X215">
        <v>149.5</v>
      </c>
      <c r="Y215">
        <v>149.6</v>
      </c>
      <c r="Z215">
        <v>128.9</v>
      </c>
      <c r="AA215">
        <v>143.30000000000001</v>
      </c>
      <c r="AB215">
        <v>155.1</v>
      </c>
      <c r="AC215">
        <v>133.19999999999999</v>
      </c>
      <c r="AD215">
        <v>141.6</v>
      </c>
      <c r="AE215">
        <v>141.9</v>
      </c>
    </row>
    <row r="216" spans="1:31"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row>
    <row r="217" spans="1:31"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row>
    <row r="218" spans="1:31"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c r="Q218">
        <v>137.4</v>
      </c>
      <c r="R218">
        <v>162.69999999999999</v>
      </c>
      <c r="S218">
        <v>150.6</v>
      </c>
      <c r="T218">
        <v>145.1</v>
      </c>
      <c r="U218">
        <v>149.9</v>
      </c>
      <c r="V218" t="s">
        <v>32</v>
      </c>
      <c r="W218">
        <v>146.19999999999999</v>
      </c>
      <c r="X218">
        <v>150.1</v>
      </c>
      <c r="Y218">
        <v>149.6</v>
      </c>
      <c r="Z218">
        <v>128.6</v>
      </c>
      <c r="AA218">
        <v>142.9</v>
      </c>
      <c r="AB218">
        <v>155.19999999999999</v>
      </c>
      <c r="AC218">
        <v>133.5</v>
      </c>
      <c r="AD218">
        <v>141.69999999999999</v>
      </c>
      <c r="AE218">
        <v>141</v>
      </c>
    </row>
    <row r="219" spans="1:31"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row>
    <row r="220" spans="1:31"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row>
    <row r="221" spans="1:31"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c r="Q221">
        <v>137.19999999999999</v>
      </c>
      <c r="R221">
        <v>162.80000000000001</v>
      </c>
      <c r="S221">
        <v>150.5</v>
      </c>
      <c r="T221">
        <v>146.1</v>
      </c>
      <c r="U221">
        <v>149.9</v>
      </c>
      <c r="V221" t="s">
        <v>32</v>
      </c>
      <c r="W221">
        <v>145.30000000000001</v>
      </c>
      <c r="X221">
        <v>150.1</v>
      </c>
      <c r="Y221">
        <v>149.9</v>
      </c>
      <c r="Z221">
        <v>129.19999999999999</v>
      </c>
      <c r="AA221">
        <v>143.4</v>
      </c>
      <c r="AB221">
        <v>155.5</v>
      </c>
      <c r="AC221">
        <v>134.9</v>
      </c>
      <c r="AD221">
        <v>142.19999999999999</v>
      </c>
      <c r="AE221">
        <v>141</v>
      </c>
    </row>
    <row r="222" spans="1:31"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row>
    <row r="223" spans="1:31"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row>
    <row r="224" spans="1:31"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c r="Q224">
        <v>137.30000000000001</v>
      </c>
      <c r="R224">
        <v>162.9</v>
      </c>
      <c r="S224">
        <v>150.80000000000001</v>
      </c>
      <c r="T224">
        <v>146.1</v>
      </c>
      <c r="U224">
        <v>150.1</v>
      </c>
      <c r="V224" t="s">
        <v>32</v>
      </c>
      <c r="W224">
        <v>146.4</v>
      </c>
      <c r="X224">
        <v>150</v>
      </c>
      <c r="Y224">
        <v>150.4</v>
      </c>
      <c r="Z224">
        <v>129.9</v>
      </c>
      <c r="AA224">
        <v>143.80000000000001</v>
      </c>
      <c r="AB224">
        <v>155.5</v>
      </c>
      <c r="AC224">
        <v>134</v>
      </c>
      <c r="AD224">
        <v>142.4</v>
      </c>
      <c r="AE224">
        <v>141.19999999999999</v>
      </c>
    </row>
    <row r="225" spans="1:31"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row>
    <row r="226" spans="1:31"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row>
    <row r="227" spans="1:31"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c r="Q227">
        <v>139.19999999999999</v>
      </c>
      <c r="R227">
        <v>163.30000000000001</v>
      </c>
      <c r="S227">
        <v>151.30000000000001</v>
      </c>
      <c r="T227">
        <v>146.6</v>
      </c>
      <c r="U227">
        <v>150.69999999999999</v>
      </c>
      <c r="V227" t="s">
        <v>32</v>
      </c>
      <c r="W227">
        <v>146.9</v>
      </c>
      <c r="X227">
        <v>149.5</v>
      </c>
      <c r="Y227">
        <v>151.30000000000001</v>
      </c>
      <c r="Z227">
        <v>130.19999999999999</v>
      </c>
      <c r="AA227">
        <v>145.9</v>
      </c>
      <c r="AB227">
        <v>156.69999999999999</v>
      </c>
      <c r="AC227">
        <v>133.9</v>
      </c>
      <c r="AD227">
        <v>142.9</v>
      </c>
      <c r="AE227">
        <v>142.4</v>
      </c>
    </row>
    <row r="228" spans="1:31"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row>
    <row r="229" spans="1:31"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row>
    <row r="230" spans="1:31"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c r="Q230">
        <v>141</v>
      </c>
      <c r="R230">
        <v>164.2</v>
      </c>
      <c r="S230">
        <v>151.4</v>
      </c>
      <c r="T230">
        <v>146.5</v>
      </c>
      <c r="U230">
        <v>150.69999999999999</v>
      </c>
      <c r="V230" t="s">
        <v>32</v>
      </c>
      <c r="W230">
        <v>147.80000000000001</v>
      </c>
      <c r="X230">
        <v>149.6</v>
      </c>
      <c r="Y230">
        <v>151.69999999999999</v>
      </c>
      <c r="Z230">
        <v>130.19999999999999</v>
      </c>
      <c r="AA230">
        <v>146.4</v>
      </c>
      <c r="AB230">
        <v>157.69999999999999</v>
      </c>
      <c r="AC230">
        <v>134.80000000000001</v>
      </c>
      <c r="AD230">
        <v>143.30000000000001</v>
      </c>
      <c r="AE230">
        <v>143.6</v>
      </c>
    </row>
    <row r="231" spans="1:31"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row>
    <row r="232" spans="1:31"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row>
    <row r="233" spans="1:31"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c r="Q233">
        <v>143</v>
      </c>
      <c r="R233">
        <v>164.5</v>
      </c>
      <c r="S233">
        <v>151.6</v>
      </c>
      <c r="T233">
        <v>146.6</v>
      </c>
      <c r="U233">
        <v>150.9</v>
      </c>
      <c r="V233" t="s">
        <v>32</v>
      </c>
      <c r="W233">
        <v>146.80000000000001</v>
      </c>
      <c r="X233">
        <v>150</v>
      </c>
      <c r="Y233">
        <v>152.19999999999999</v>
      </c>
      <c r="Z233">
        <v>131.19999999999999</v>
      </c>
      <c r="AA233">
        <v>147.5</v>
      </c>
      <c r="AB233">
        <v>159.1</v>
      </c>
      <c r="AC233">
        <v>136.1</v>
      </c>
      <c r="AD233">
        <v>144.19999999999999</v>
      </c>
      <c r="AE233">
        <v>144.9</v>
      </c>
    </row>
    <row r="234" spans="1:31"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row>
    <row r="235" spans="1:31"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row>
    <row r="236" spans="1:31"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c r="Q236">
        <v>144</v>
      </c>
      <c r="R236">
        <v>165.1</v>
      </c>
      <c r="S236">
        <v>151.80000000000001</v>
      </c>
      <c r="T236">
        <v>146.6</v>
      </c>
      <c r="U236">
        <v>151.1</v>
      </c>
      <c r="V236" t="s">
        <v>32</v>
      </c>
      <c r="W236">
        <v>146.4</v>
      </c>
      <c r="X236">
        <v>150.19999999999999</v>
      </c>
      <c r="Y236">
        <v>152.69999999999999</v>
      </c>
      <c r="Z236">
        <v>131.4</v>
      </c>
      <c r="AA236">
        <v>148</v>
      </c>
      <c r="AB236">
        <v>159.69999999999999</v>
      </c>
      <c r="AC236">
        <v>138.80000000000001</v>
      </c>
      <c r="AD236">
        <v>144.9</v>
      </c>
      <c r="AE236">
        <v>145.69999999999999</v>
      </c>
    </row>
    <row r="237" spans="1:31"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row>
    <row r="238" spans="1:31"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c r="Q238">
        <v>145.9</v>
      </c>
      <c r="R238">
        <v>165.8</v>
      </c>
      <c r="S238">
        <v>149.1</v>
      </c>
      <c r="T238">
        <v>140.6</v>
      </c>
      <c r="U238">
        <v>147.9</v>
      </c>
      <c r="V238">
        <v>151.6</v>
      </c>
      <c r="W238">
        <v>138.5</v>
      </c>
      <c r="X238">
        <v>144.5</v>
      </c>
      <c r="Y238">
        <v>148.5</v>
      </c>
      <c r="Z238">
        <v>125.8</v>
      </c>
      <c r="AA238">
        <v>140.9</v>
      </c>
      <c r="AB238">
        <v>154.9</v>
      </c>
      <c r="AC238">
        <v>138.4</v>
      </c>
      <c r="AD238">
        <v>140.19999999999999</v>
      </c>
      <c r="AE238">
        <v>145</v>
      </c>
    </row>
    <row r="239" spans="1:31"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c r="Q239">
        <v>145.5</v>
      </c>
      <c r="R239">
        <v>165.7</v>
      </c>
      <c r="S239">
        <v>151.69999999999999</v>
      </c>
      <c r="T239">
        <v>146.6</v>
      </c>
      <c r="U239">
        <v>151</v>
      </c>
      <c r="V239" t="s">
        <v>32</v>
      </c>
      <c r="W239">
        <v>146.9</v>
      </c>
      <c r="X239">
        <v>150.30000000000001</v>
      </c>
      <c r="Y239">
        <v>153.4</v>
      </c>
      <c r="Z239">
        <v>131.6</v>
      </c>
      <c r="AA239">
        <v>148.30000000000001</v>
      </c>
      <c r="AB239">
        <v>160.19999999999999</v>
      </c>
      <c r="AC239">
        <v>140.19999999999999</v>
      </c>
      <c r="AD239">
        <v>145.4</v>
      </c>
      <c r="AE239">
        <v>146.69999999999999</v>
      </c>
    </row>
    <row r="240" spans="1:31"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row>
    <row r="241" spans="1:31"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row>
    <row r="242" spans="1:31"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c r="Q242">
        <v>148.30000000000001</v>
      </c>
      <c r="R242">
        <v>166.3</v>
      </c>
      <c r="S242">
        <v>151.69999999999999</v>
      </c>
      <c r="T242">
        <v>146.69999999999999</v>
      </c>
      <c r="U242">
        <v>151</v>
      </c>
      <c r="V242" t="s">
        <v>32</v>
      </c>
      <c r="W242">
        <v>147.69999999999999</v>
      </c>
      <c r="X242">
        <v>150.6</v>
      </c>
      <c r="Y242">
        <v>153.69999999999999</v>
      </c>
      <c r="Z242">
        <v>131.69999999999999</v>
      </c>
      <c r="AA242">
        <v>148.69999999999999</v>
      </c>
      <c r="AB242">
        <v>160.69999999999999</v>
      </c>
      <c r="AC242">
        <v>140.30000000000001</v>
      </c>
      <c r="AD242">
        <v>145.69999999999999</v>
      </c>
      <c r="AE242">
        <v>148.30000000000001</v>
      </c>
    </row>
    <row r="243" spans="1:31"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row>
    <row r="244" spans="1:31"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row>
    <row r="245" spans="1:31"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c r="Q245">
        <v>150.9</v>
      </c>
      <c r="R245">
        <v>167.2</v>
      </c>
      <c r="S245">
        <v>152.30000000000001</v>
      </c>
      <c r="T245">
        <v>147</v>
      </c>
      <c r="U245">
        <v>151.5</v>
      </c>
      <c r="V245" t="s">
        <v>32</v>
      </c>
      <c r="W245">
        <v>148.4</v>
      </c>
      <c r="X245">
        <v>150.9</v>
      </c>
      <c r="Y245">
        <v>154.30000000000001</v>
      </c>
      <c r="Z245">
        <v>132.1</v>
      </c>
      <c r="AA245">
        <v>149.1</v>
      </c>
      <c r="AB245">
        <v>160.80000000000001</v>
      </c>
      <c r="AC245">
        <v>140.6</v>
      </c>
      <c r="AD245">
        <v>146.1</v>
      </c>
      <c r="AE245">
        <v>149.9</v>
      </c>
    </row>
    <row r="246" spans="1:31"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row>
    <row r="247" spans="1:31"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row>
    <row r="248" spans="1:31"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c r="Q248">
        <v>154.30000000000001</v>
      </c>
      <c r="R248">
        <v>167.8</v>
      </c>
      <c r="S248">
        <v>152.6</v>
      </c>
      <c r="T248">
        <v>147.30000000000001</v>
      </c>
      <c r="U248">
        <v>151.9</v>
      </c>
      <c r="V248" t="s">
        <v>32</v>
      </c>
      <c r="W248">
        <v>149.9</v>
      </c>
      <c r="X248">
        <v>151.19999999999999</v>
      </c>
      <c r="Y248">
        <v>154.80000000000001</v>
      </c>
      <c r="Z248">
        <v>135</v>
      </c>
      <c r="AA248">
        <v>149.5</v>
      </c>
      <c r="AB248">
        <v>161.1</v>
      </c>
      <c r="AC248">
        <v>140.6</v>
      </c>
      <c r="AD248">
        <v>147.1</v>
      </c>
      <c r="AE248">
        <v>152.30000000000001</v>
      </c>
    </row>
    <row r="249" spans="1:31"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row>
    <row r="250" spans="1:31"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row>
    <row r="251" spans="1:31"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c r="Q251">
        <v>153</v>
      </c>
      <c r="R251">
        <v>168.6</v>
      </c>
      <c r="S251">
        <v>152.80000000000001</v>
      </c>
      <c r="T251">
        <v>147.4</v>
      </c>
      <c r="U251">
        <v>152.1</v>
      </c>
      <c r="V251" t="s">
        <v>32</v>
      </c>
      <c r="W251">
        <v>150.4</v>
      </c>
      <c r="X251">
        <v>151.69999999999999</v>
      </c>
      <c r="Y251">
        <v>155.69999999999999</v>
      </c>
      <c r="Z251">
        <v>136.30000000000001</v>
      </c>
      <c r="AA251">
        <v>150.1</v>
      </c>
      <c r="AB251">
        <v>161.69999999999999</v>
      </c>
      <c r="AC251">
        <v>142.5</v>
      </c>
      <c r="AD251">
        <v>148.1</v>
      </c>
      <c r="AE251">
        <v>151.9</v>
      </c>
    </row>
    <row r="252" spans="1:31"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row>
    <row r="253" spans="1:31" hidden="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row>
    <row r="254" spans="1:31"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c r="Q254">
        <v>149.80000000000001</v>
      </c>
      <c r="R254">
        <v>169.4</v>
      </c>
      <c r="S254">
        <v>153</v>
      </c>
      <c r="T254">
        <v>147.5</v>
      </c>
      <c r="U254">
        <v>152.30000000000001</v>
      </c>
      <c r="V254" t="s">
        <v>32</v>
      </c>
      <c r="W254">
        <v>152.30000000000001</v>
      </c>
      <c r="X254">
        <v>151.80000000000001</v>
      </c>
      <c r="Y254">
        <v>156.19999999999999</v>
      </c>
      <c r="Z254">
        <v>136</v>
      </c>
      <c r="AA254">
        <v>150.4</v>
      </c>
      <c r="AB254">
        <v>161.9</v>
      </c>
      <c r="AC254">
        <v>143.4</v>
      </c>
      <c r="AD254">
        <v>148.4</v>
      </c>
      <c r="AE254">
        <v>150.4</v>
      </c>
    </row>
    <row r="255" spans="1:31"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row>
    <row r="256" spans="1:31" hidden="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row>
    <row r="257" spans="1:31"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c r="Q257">
        <v>148.19999999999999</v>
      </c>
      <c r="R257">
        <v>170.5</v>
      </c>
      <c r="S257">
        <v>153.4</v>
      </c>
      <c r="T257">
        <v>147.6</v>
      </c>
      <c r="U257">
        <v>152.5</v>
      </c>
      <c r="V257" t="s">
        <v>32</v>
      </c>
      <c r="W257">
        <v>153.4</v>
      </c>
      <c r="X257">
        <v>151.5</v>
      </c>
      <c r="Y257">
        <v>156.69999999999999</v>
      </c>
      <c r="Z257">
        <v>135.80000000000001</v>
      </c>
      <c r="AA257">
        <v>151.19999999999999</v>
      </c>
      <c r="AB257">
        <v>161.19999999999999</v>
      </c>
      <c r="AC257">
        <v>145.1</v>
      </c>
      <c r="AD257">
        <v>148.6</v>
      </c>
      <c r="AE257">
        <v>149.80000000000001</v>
      </c>
    </row>
    <row r="258" spans="1:31"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row>
    <row r="259" spans="1:31" hidden="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row>
    <row r="260" spans="1:31"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c r="Q260">
        <v>150.1</v>
      </c>
      <c r="R260" t="s">
        <v>32</v>
      </c>
      <c r="S260" t="s">
        <v>32</v>
      </c>
      <c r="T260" t="s">
        <v>32</v>
      </c>
      <c r="U260" t="s">
        <v>32</v>
      </c>
      <c r="V260" t="s">
        <v>32</v>
      </c>
      <c r="W260">
        <v>148.4</v>
      </c>
      <c r="X260" t="s">
        <v>32</v>
      </c>
      <c r="Y260">
        <v>154.30000000000001</v>
      </c>
      <c r="Z260" t="s">
        <v>32</v>
      </c>
      <c r="AA260" t="s">
        <v>32</v>
      </c>
      <c r="AB260" t="s">
        <v>32</v>
      </c>
      <c r="AC260" t="s">
        <v>32</v>
      </c>
      <c r="AD260" t="s">
        <v>32</v>
      </c>
      <c r="AE260" t="s">
        <v>32</v>
      </c>
    </row>
    <row r="261" spans="1:31"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c r="Q261">
        <v>153.5</v>
      </c>
      <c r="R261" t="s">
        <v>32</v>
      </c>
      <c r="S261" t="s">
        <v>32</v>
      </c>
      <c r="T261" t="s">
        <v>32</v>
      </c>
      <c r="U261" t="s">
        <v>32</v>
      </c>
      <c r="V261">
        <v>155.6</v>
      </c>
      <c r="W261">
        <v>137.1</v>
      </c>
      <c r="X261" t="s">
        <v>32</v>
      </c>
      <c r="Y261">
        <v>144.80000000000001</v>
      </c>
      <c r="Z261" t="s">
        <v>32</v>
      </c>
      <c r="AA261" t="s">
        <v>32</v>
      </c>
      <c r="AB261" t="s">
        <v>32</v>
      </c>
      <c r="AC261" t="s">
        <v>32</v>
      </c>
      <c r="AD261" t="s">
        <v>32</v>
      </c>
      <c r="AE261" t="s">
        <v>32</v>
      </c>
    </row>
    <row r="262" spans="1:31" hidden="1"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c r="Q262">
        <v>151.4</v>
      </c>
      <c r="R262" t="s">
        <v>32</v>
      </c>
      <c r="S262" t="s">
        <v>32</v>
      </c>
      <c r="T262" t="s">
        <v>32</v>
      </c>
      <c r="U262" t="s">
        <v>32</v>
      </c>
      <c r="V262">
        <v>155.6</v>
      </c>
      <c r="W262">
        <v>144.1</v>
      </c>
      <c r="X262" t="s">
        <v>32</v>
      </c>
      <c r="Y262">
        <v>150.69999999999999</v>
      </c>
      <c r="Z262" t="s">
        <v>32</v>
      </c>
      <c r="AA262" t="s">
        <v>32</v>
      </c>
      <c r="AB262" t="s">
        <v>32</v>
      </c>
      <c r="AC262" t="s">
        <v>32</v>
      </c>
      <c r="AD262" t="s">
        <v>32</v>
      </c>
      <c r="AE262" t="s">
        <v>32</v>
      </c>
    </row>
    <row r="263" spans="1:31"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c r="Q263" t="s">
        <v>32</v>
      </c>
      <c r="R263" t="s">
        <v>32</v>
      </c>
      <c r="S263" t="s">
        <v>32</v>
      </c>
      <c r="T263" t="s">
        <v>32</v>
      </c>
      <c r="U263" t="s">
        <v>32</v>
      </c>
      <c r="V263" t="s">
        <v>32</v>
      </c>
      <c r="W263" t="s">
        <v>32</v>
      </c>
      <c r="X263" t="s">
        <v>32</v>
      </c>
      <c r="Y263" t="s">
        <v>32</v>
      </c>
      <c r="Z263" t="s">
        <v>32</v>
      </c>
      <c r="AA263" t="s">
        <v>32</v>
      </c>
      <c r="AB263" t="s">
        <v>32</v>
      </c>
      <c r="AC263" t="s">
        <v>32</v>
      </c>
      <c r="AD263" t="s">
        <v>32</v>
      </c>
      <c r="AE263" t="s">
        <v>32</v>
      </c>
    </row>
    <row r="264" spans="1:31"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c r="Q264" t="s">
        <v>32</v>
      </c>
      <c r="R264" t="s">
        <v>32</v>
      </c>
      <c r="S264" t="s">
        <v>32</v>
      </c>
      <c r="T264" t="s">
        <v>32</v>
      </c>
      <c r="U264" t="s">
        <v>32</v>
      </c>
      <c r="V264" t="s">
        <v>32</v>
      </c>
      <c r="W264" t="s">
        <v>32</v>
      </c>
      <c r="X264" t="s">
        <v>32</v>
      </c>
      <c r="Y264" t="s">
        <v>32</v>
      </c>
      <c r="Z264" t="s">
        <v>32</v>
      </c>
      <c r="AA264" t="s">
        <v>32</v>
      </c>
      <c r="AB264" t="s">
        <v>32</v>
      </c>
      <c r="AC264" t="s">
        <v>32</v>
      </c>
      <c r="AD264" t="s">
        <v>32</v>
      </c>
      <c r="AE264" t="s">
        <v>32</v>
      </c>
    </row>
    <row r="265" spans="1:31" hidden="1"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c r="Q265" t="s">
        <v>32</v>
      </c>
      <c r="R265" t="s">
        <v>32</v>
      </c>
      <c r="S265" t="s">
        <v>32</v>
      </c>
      <c r="T265" t="s">
        <v>32</v>
      </c>
      <c r="U265" t="s">
        <v>32</v>
      </c>
      <c r="V265" t="s">
        <v>32</v>
      </c>
      <c r="W265" t="s">
        <v>32</v>
      </c>
      <c r="X265" t="s">
        <v>32</v>
      </c>
      <c r="Y265" t="s">
        <v>32</v>
      </c>
      <c r="Z265" t="s">
        <v>32</v>
      </c>
      <c r="AA265" t="s">
        <v>32</v>
      </c>
      <c r="AB265" t="s">
        <v>32</v>
      </c>
      <c r="AC265" t="s">
        <v>32</v>
      </c>
      <c r="AD265" t="s">
        <v>32</v>
      </c>
      <c r="AE265" t="s">
        <v>32</v>
      </c>
    </row>
    <row r="266" spans="1:31"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c r="Q266">
        <v>152.30000000000001</v>
      </c>
      <c r="R266">
        <v>182.4</v>
      </c>
      <c r="S266">
        <v>154.69999999999999</v>
      </c>
      <c r="T266">
        <v>150</v>
      </c>
      <c r="U266">
        <v>154.1</v>
      </c>
      <c r="V266" t="s">
        <v>32</v>
      </c>
      <c r="W266">
        <v>144.9</v>
      </c>
      <c r="X266">
        <v>151.69999999999999</v>
      </c>
      <c r="Y266">
        <v>158.19999999999999</v>
      </c>
      <c r="Z266">
        <v>141.4</v>
      </c>
      <c r="AA266">
        <v>153.19999999999999</v>
      </c>
      <c r="AB266">
        <v>161.80000000000001</v>
      </c>
      <c r="AC266">
        <v>151.19999999999999</v>
      </c>
      <c r="AD266">
        <v>151.69999999999999</v>
      </c>
      <c r="AE266">
        <v>152.69999999999999</v>
      </c>
    </row>
    <row r="267" spans="1:31"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row>
    <row r="268" spans="1:31" hidden="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row>
    <row r="269" spans="1:31"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c r="Q269">
        <v>152.30000000000001</v>
      </c>
      <c r="R269">
        <v>182.4</v>
      </c>
      <c r="S269">
        <v>154.69999999999999</v>
      </c>
      <c r="T269">
        <v>150</v>
      </c>
      <c r="U269">
        <v>154.1</v>
      </c>
      <c r="V269" t="s">
        <v>32</v>
      </c>
      <c r="W269">
        <v>144.9</v>
      </c>
      <c r="X269">
        <v>151.69999999999999</v>
      </c>
      <c r="Y269">
        <v>158.19999999999999</v>
      </c>
      <c r="Z269">
        <v>141.4</v>
      </c>
      <c r="AA269">
        <v>153.19999999999999</v>
      </c>
      <c r="AB269">
        <v>161.80000000000001</v>
      </c>
      <c r="AC269">
        <v>151.19999999999999</v>
      </c>
      <c r="AD269">
        <v>151.69999999999999</v>
      </c>
      <c r="AE269">
        <v>152.69999999999999</v>
      </c>
    </row>
    <row r="270" spans="1:31"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row>
    <row r="271" spans="1:31" hidden="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row>
    <row r="272" spans="1:31"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c r="Q272">
        <v>155.30000000000001</v>
      </c>
      <c r="R272">
        <v>180.9</v>
      </c>
      <c r="S272">
        <v>155.1</v>
      </c>
      <c r="T272">
        <v>149.30000000000001</v>
      </c>
      <c r="U272">
        <v>154.30000000000001</v>
      </c>
      <c r="V272" t="s">
        <v>32</v>
      </c>
      <c r="W272">
        <v>145.80000000000001</v>
      </c>
      <c r="X272">
        <v>151.9</v>
      </c>
      <c r="Y272">
        <v>158.80000000000001</v>
      </c>
      <c r="Z272">
        <v>143.6</v>
      </c>
      <c r="AA272">
        <v>152.19999999999999</v>
      </c>
      <c r="AB272">
        <v>162.69999999999999</v>
      </c>
      <c r="AC272">
        <v>153.6</v>
      </c>
      <c r="AD272">
        <v>153</v>
      </c>
      <c r="AE272">
        <v>154.69999999999999</v>
      </c>
    </row>
    <row r="273" spans="1:31"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row>
    <row r="274" spans="1:31" hidden="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row>
    <row r="275" spans="1:31"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c r="Q275">
        <v>156.1</v>
      </c>
      <c r="R275">
        <v>182.9</v>
      </c>
      <c r="S275">
        <v>155.4</v>
      </c>
      <c r="T275">
        <v>149.9</v>
      </c>
      <c r="U275">
        <v>154.6</v>
      </c>
      <c r="V275" t="s">
        <v>32</v>
      </c>
      <c r="W275">
        <v>146.4</v>
      </c>
      <c r="X275">
        <v>151.6</v>
      </c>
      <c r="Y275">
        <v>159.1</v>
      </c>
      <c r="Z275">
        <v>144.6</v>
      </c>
      <c r="AA275">
        <v>152.80000000000001</v>
      </c>
      <c r="AB275">
        <v>161.1</v>
      </c>
      <c r="AC275">
        <v>157.4</v>
      </c>
      <c r="AD275">
        <v>153.69999999999999</v>
      </c>
      <c r="AE275">
        <v>155.4</v>
      </c>
    </row>
    <row r="276" spans="1:31"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row>
    <row r="277" spans="1:31" hidden="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row>
    <row r="278" spans="1:31"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c r="Q278">
        <v>159.6</v>
      </c>
      <c r="R278">
        <v>182.7</v>
      </c>
      <c r="S278">
        <v>155.69999999999999</v>
      </c>
      <c r="T278">
        <v>150.6</v>
      </c>
      <c r="U278">
        <v>155</v>
      </c>
      <c r="V278" t="s">
        <v>32</v>
      </c>
      <c r="W278">
        <v>146.80000000000001</v>
      </c>
      <c r="X278">
        <v>152</v>
      </c>
      <c r="Y278">
        <v>159.5</v>
      </c>
      <c r="Z278">
        <v>146.4</v>
      </c>
      <c r="AA278">
        <v>152.4</v>
      </c>
      <c r="AB278">
        <v>162.5</v>
      </c>
      <c r="AC278">
        <v>156.19999999999999</v>
      </c>
      <c r="AD278">
        <v>154.30000000000001</v>
      </c>
      <c r="AE278">
        <v>157.5</v>
      </c>
    </row>
    <row r="279" spans="1:31"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row>
    <row r="280" spans="1:31" hidden="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row>
    <row r="281" spans="1:31"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c r="Q281">
        <v>163.4</v>
      </c>
      <c r="R281">
        <v>183.4</v>
      </c>
      <c r="S281">
        <v>156.30000000000001</v>
      </c>
      <c r="T281">
        <v>151</v>
      </c>
      <c r="U281">
        <v>155.5</v>
      </c>
      <c r="V281" t="s">
        <v>32</v>
      </c>
      <c r="W281">
        <v>147.5</v>
      </c>
      <c r="X281">
        <v>152.80000000000001</v>
      </c>
      <c r="Y281">
        <v>160.4</v>
      </c>
      <c r="Z281">
        <v>146.1</v>
      </c>
      <c r="AA281">
        <v>153.6</v>
      </c>
      <c r="AB281">
        <v>161.6</v>
      </c>
      <c r="AC281">
        <v>156.19999999999999</v>
      </c>
      <c r="AD281">
        <v>154.5</v>
      </c>
      <c r="AE281">
        <v>159.80000000000001</v>
      </c>
    </row>
    <row r="282" spans="1:31"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row>
    <row r="283" spans="1:31" hidden="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row>
    <row r="284" spans="1:31"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c r="Q284">
        <v>164.5</v>
      </c>
      <c r="R284">
        <v>183.6</v>
      </c>
      <c r="S284">
        <v>157</v>
      </c>
      <c r="T284">
        <v>151.6</v>
      </c>
      <c r="U284">
        <v>156.30000000000001</v>
      </c>
      <c r="V284" t="s">
        <v>32</v>
      </c>
      <c r="W284">
        <v>148.69999999999999</v>
      </c>
      <c r="X284">
        <v>153.4</v>
      </c>
      <c r="Y284">
        <v>161.6</v>
      </c>
      <c r="Z284">
        <v>146.4</v>
      </c>
      <c r="AA284">
        <v>153.9</v>
      </c>
      <c r="AB284">
        <v>162.9</v>
      </c>
      <c r="AC284">
        <v>156.6</v>
      </c>
      <c r="AD284">
        <v>155.19999999999999</v>
      </c>
      <c r="AE284">
        <v>160.69999999999999</v>
      </c>
    </row>
    <row r="285" spans="1:31"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row>
    <row r="286" spans="1:31" hidden="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row>
    <row r="287" spans="1:31"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c r="Q287">
        <v>159.6</v>
      </c>
      <c r="R287">
        <v>184.6</v>
      </c>
      <c r="S287">
        <v>157.5</v>
      </c>
      <c r="T287">
        <v>152.4</v>
      </c>
      <c r="U287">
        <v>156.80000000000001</v>
      </c>
      <c r="V287" t="s">
        <v>32</v>
      </c>
      <c r="W287">
        <v>150.9</v>
      </c>
      <c r="X287">
        <v>153.9</v>
      </c>
      <c r="Y287">
        <v>162.5</v>
      </c>
      <c r="Z287">
        <v>147.5</v>
      </c>
      <c r="AA287">
        <v>155.1</v>
      </c>
      <c r="AB287">
        <v>163.5</v>
      </c>
      <c r="AC287">
        <v>156.19999999999999</v>
      </c>
      <c r="AD287">
        <v>155.9</v>
      </c>
      <c r="AE287">
        <v>158.5</v>
      </c>
    </row>
    <row r="288" spans="1:31" hidden="1"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row>
    <row r="289" spans="1:46" x14ac:dyDescent="0.3">
      <c r="A289" t="s">
        <v>34</v>
      </c>
      <c r="B289">
        <v>2021</v>
      </c>
      <c r="C289" s="19" t="s">
        <v>31</v>
      </c>
      <c r="D289">
        <v>144.9</v>
      </c>
      <c r="E289">
        <v>190.1</v>
      </c>
      <c r="F289">
        <v>175.3</v>
      </c>
      <c r="G289">
        <v>154.1</v>
      </c>
      <c r="H289">
        <v>150.9</v>
      </c>
      <c r="I289">
        <v>149.6</v>
      </c>
      <c r="J289">
        <v>194.2</v>
      </c>
      <c r="K289">
        <v>160.4</v>
      </c>
      <c r="L289">
        <v>114.6</v>
      </c>
      <c r="M289">
        <v>164</v>
      </c>
      <c r="N289">
        <v>151.80000000000001</v>
      </c>
      <c r="O289">
        <v>165.6</v>
      </c>
      <c r="P289" s="19" t="str">
        <f>_xlfn.CONCAT(C289, " ",B289)</f>
        <v>January 2021</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c r="AF289" s="15">
        <v>54.79</v>
      </c>
      <c r="AS289" t="s">
        <v>147</v>
      </c>
      <c r="AT289" s="9">
        <f>CORREL(AG:AG,AH:AH)</f>
        <v>-0.11221849780136414</v>
      </c>
    </row>
    <row r="290" spans="1:46" hidden="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c r="Q290">
        <v>154.69999999999999</v>
      </c>
      <c r="R290">
        <v>186.5</v>
      </c>
      <c r="S290">
        <v>159.1</v>
      </c>
      <c r="T290">
        <v>153.9</v>
      </c>
      <c r="U290">
        <v>158.4</v>
      </c>
      <c r="V290" t="s">
        <v>32</v>
      </c>
      <c r="W290">
        <v>154.4</v>
      </c>
      <c r="X290">
        <v>154.80000000000001</v>
      </c>
      <c r="Y290">
        <v>164.3</v>
      </c>
      <c r="Z290">
        <v>150.19999999999999</v>
      </c>
      <c r="AA290">
        <v>157</v>
      </c>
      <c r="AB290">
        <v>163.6</v>
      </c>
      <c r="AC290">
        <v>155.19999999999999</v>
      </c>
      <c r="AD290">
        <v>157.19999999999999</v>
      </c>
      <c r="AE290">
        <v>156.69999999999999</v>
      </c>
      <c r="AF290" s="14">
        <v>63.4</v>
      </c>
    </row>
    <row r="291" spans="1:46" hidden="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c r="AF291" s="13">
        <v>102.97</v>
      </c>
    </row>
    <row r="292" spans="1:46" x14ac:dyDescent="0.3">
      <c r="A292" t="s">
        <v>34</v>
      </c>
      <c r="B292">
        <v>2021</v>
      </c>
      <c r="C292" s="19"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s="19" t="str">
        <f>_xlfn.CONCAT(C292, " ",B292)</f>
        <v>February 2021</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c r="AF292" s="16">
        <v>62.28</v>
      </c>
      <c r="AG292" s="9">
        <f>(AF292-AF289)/AF289*100</f>
        <v>13.670377806169013</v>
      </c>
      <c r="AH292" s="9">
        <f>(Q292-Q289)/Q289*100</f>
        <v>-2.5465838509316736</v>
      </c>
      <c r="AI292" s="9">
        <f>(U292-U289)/U289*100</f>
        <v>1.0376134889753716</v>
      </c>
      <c r="AJ292" s="9">
        <f>(V292-V289)/V289*100</f>
        <v>1.331642358909336</v>
      </c>
      <c r="AK292" s="9">
        <f>(W292-W289)/W289*100</f>
        <v>3.0425963488843815</v>
      </c>
      <c r="AL292" s="9">
        <f>(X292-X289)/X289*100</f>
        <v>0.60000000000000386</v>
      </c>
      <c r="AM292" s="9">
        <f>(Y292-Y289)/Y289*100</f>
        <v>1.2554927809165097</v>
      </c>
      <c r="AN292" s="9">
        <f>(Z292-Z289)/Z289*100</f>
        <v>2.2551092318534098</v>
      </c>
      <c r="AO292" s="9">
        <f>(AB292-AB289)/AB289*100</f>
        <v>0.18844221105528353</v>
      </c>
      <c r="AP292" s="9">
        <f>(AC292-AC289)/AC289*100</f>
        <v>-0.6377551020408162</v>
      </c>
      <c r="AQ292" s="9">
        <f>(AE292-AE289)/AE289*100</f>
        <v>-0.44500953591863762</v>
      </c>
      <c r="AS292" t="s">
        <v>17</v>
      </c>
      <c r="AT292" s="9">
        <f>CORREL(AG:AG,AI:AI)</f>
        <v>0.25592996506591298</v>
      </c>
    </row>
    <row r="293" spans="1:46" hidden="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c r="Q293">
        <v>154.5</v>
      </c>
      <c r="R293">
        <v>186.1</v>
      </c>
      <c r="S293">
        <v>159.6</v>
      </c>
      <c r="T293">
        <v>154.4</v>
      </c>
      <c r="U293">
        <v>158.9</v>
      </c>
      <c r="V293" t="s">
        <v>48</v>
      </c>
      <c r="W293">
        <v>156</v>
      </c>
      <c r="X293">
        <v>154.80000000000001</v>
      </c>
      <c r="Y293">
        <v>164.6</v>
      </c>
      <c r="Z293">
        <v>151.30000000000001</v>
      </c>
      <c r="AA293">
        <v>157.80000000000001</v>
      </c>
      <c r="AB293">
        <v>163.80000000000001</v>
      </c>
      <c r="AC293">
        <v>153.1</v>
      </c>
      <c r="AD293">
        <v>157.30000000000001</v>
      </c>
      <c r="AE293">
        <v>156.69999999999999</v>
      </c>
      <c r="AF293" s="13">
        <v>69.8</v>
      </c>
    </row>
    <row r="294" spans="1:46" hidden="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c r="AF294" s="14">
        <v>49.84</v>
      </c>
    </row>
    <row r="295" spans="1:46" x14ac:dyDescent="0.3">
      <c r="A295" t="s">
        <v>34</v>
      </c>
      <c r="B295">
        <v>2021</v>
      </c>
      <c r="C295" s="19" t="s">
        <v>36</v>
      </c>
      <c r="D295">
        <v>144.1</v>
      </c>
      <c r="E295">
        <v>192.2</v>
      </c>
      <c r="F295">
        <v>163.80000000000001</v>
      </c>
      <c r="G295">
        <v>154.9</v>
      </c>
      <c r="H295">
        <v>163.9</v>
      </c>
      <c r="I295">
        <v>153.69999999999999</v>
      </c>
      <c r="J295">
        <v>149.5</v>
      </c>
      <c r="K295">
        <v>159.80000000000001</v>
      </c>
      <c r="L295">
        <v>112.6</v>
      </c>
      <c r="M295">
        <v>163.5</v>
      </c>
      <c r="N295">
        <v>156.5</v>
      </c>
      <c r="O295">
        <v>168.2</v>
      </c>
      <c r="P295" s="19" t="str">
        <f>_xlfn.CONCAT(C295, " ",B295)</f>
        <v>March 2021</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c r="AF295" s="16">
        <v>64.73</v>
      </c>
      <c r="AG295" s="9">
        <f>(AF295-AF292)/AF292*100</f>
        <v>3.9338471419396321</v>
      </c>
      <c r="AH295" s="9">
        <f>(Q295-Q292)/Q292*100</f>
        <v>-0.12746972594010009</v>
      </c>
      <c r="AI295" s="9">
        <f>(U295-U292)/U292*100</f>
        <v>0.38510911424903355</v>
      </c>
      <c r="AJ295" s="9">
        <f>(V295-V292)/V292*100</f>
        <v>6.2578222778469528E-2</v>
      </c>
      <c r="AK295" s="9">
        <f>(W295-W292)/W292*100</f>
        <v>2.0341207349081327</v>
      </c>
      <c r="AL295" s="9">
        <f>(X295-X292)/X292*100</f>
        <v>0.19880715705764279</v>
      </c>
      <c r="AM295" s="9">
        <f>(Y295-Y292)/Y292*100</f>
        <v>0.24798512089273234</v>
      </c>
      <c r="AN295" s="9">
        <f>(Z295-Z292)/Z292*100</f>
        <v>0.75809786354238073</v>
      </c>
      <c r="AO295" s="9">
        <f>(AB295-AB292)/AB292*100</f>
        <v>0.43887147335422488</v>
      </c>
      <c r="AP295" s="9">
        <f>(AC295-AC292)/AC292*100</f>
        <v>-1.2836970474967906</v>
      </c>
      <c r="AQ295" s="9">
        <f>(AE295-AE292)/AE292*100</f>
        <v>0.12771392081737998</v>
      </c>
      <c r="AS295" t="s">
        <v>20</v>
      </c>
      <c r="AT295" s="9">
        <f>CORREL(AG:AG,AJ:AJ)</f>
        <v>-0.18782381563551392</v>
      </c>
    </row>
    <row r="296" spans="1:46" hidden="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c r="Q296">
        <v>155.6</v>
      </c>
      <c r="R296">
        <v>186.8</v>
      </c>
      <c r="S296">
        <v>160.69999999999999</v>
      </c>
      <c r="T296">
        <v>155.1</v>
      </c>
      <c r="U296">
        <v>159.9</v>
      </c>
      <c r="V296" t="s">
        <v>48</v>
      </c>
      <c r="W296">
        <v>156</v>
      </c>
      <c r="X296">
        <v>155.5</v>
      </c>
      <c r="Y296">
        <v>165.3</v>
      </c>
      <c r="Z296">
        <v>151.69999999999999</v>
      </c>
      <c r="AA296">
        <v>158.6</v>
      </c>
      <c r="AB296">
        <v>164.1</v>
      </c>
      <c r="AC296">
        <v>154.6</v>
      </c>
      <c r="AD296">
        <v>158</v>
      </c>
      <c r="AE296">
        <v>157.6</v>
      </c>
      <c r="AF296" s="14">
        <v>61.22</v>
      </c>
    </row>
    <row r="297" spans="1:46" hidden="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c r="Q297">
        <v>162</v>
      </c>
      <c r="R297">
        <v>194.4</v>
      </c>
      <c r="S297">
        <v>155.9</v>
      </c>
      <c r="T297">
        <v>139.30000000000001</v>
      </c>
      <c r="U297">
        <v>153.4</v>
      </c>
      <c r="V297">
        <v>161.4</v>
      </c>
      <c r="W297">
        <v>154.9</v>
      </c>
      <c r="X297">
        <v>147.6</v>
      </c>
      <c r="Y297">
        <v>157.5</v>
      </c>
      <c r="Z297">
        <v>142.1</v>
      </c>
      <c r="AA297">
        <v>149.1</v>
      </c>
      <c r="AB297">
        <v>157.6</v>
      </c>
      <c r="AC297">
        <v>156.6</v>
      </c>
      <c r="AD297">
        <v>150.5</v>
      </c>
      <c r="AE297">
        <v>158</v>
      </c>
      <c r="AF297" s="13">
        <v>94.07</v>
      </c>
    </row>
    <row r="298" spans="1:46" x14ac:dyDescent="0.3">
      <c r="A298" t="s">
        <v>34</v>
      </c>
      <c r="B298">
        <v>2021</v>
      </c>
      <c r="C298" s="19" t="s">
        <v>37</v>
      </c>
      <c r="D298">
        <v>144.30000000000001</v>
      </c>
      <c r="E298">
        <v>198</v>
      </c>
      <c r="F298">
        <v>164.6</v>
      </c>
      <c r="G298">
        <v>155.4</v>
      </c>
      <c r="H298">
        <v>170.1</v>
      </c>
      <c r="I298">
        <v>164.4</v>
      </c>
      <c r="J298">
        <v>144.1</v>
      </c>
      <c r="K298">
        <v>161.69999999999999</v>
      </c>
      <c r="L298">
        <v>113.1</v>
      </c>
      <c r="M298">
        <v>163.9</v>
      </c>
      <c r="N298">
        <v>157.6</v>
      </c>
      <c r="O298">
        <v>168.9</v>
      </c>
      <c r="P298" s="19" t="str">
        <f>_xlfn.CONCAT(C298, " ",B298)</f>
        <v>April 2021</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c r="AF298" s="15">
        <v>19.899999999999999</v>
      </c>
      <c r="AG298" s="9">
        <f>(AF298-AF295)/AF295*100</f>
        <v>-69.256913332303412</v>
      </c>
      <c r="AH298" s="9">
        <f>(Q298-Q295)/Q295*100</f>
        <v>0.82961072112317258</v>
      </c>
      <c r="AI298" s="9">
        <f>(U298-U295)/U295*100</f>
        <v>0.57544757033248439</v>
      </c>
      <c r="AJ298" s="9">
        <f>(V298-V295)/V295*100</f>
        <v>0.9380863039399624</v>
      </c>
      <c r="AK298" s="9">
        <f>(W298-W295)/W295*100</f>
        <v>6.4308681672022069E-2</v>
      </c>
      <c r="AL298" s="9">
        <f>(X298-X295)/X295*100</f>
        <v>0.3968253968254119</v>
      </c>
      <c r="AM298" s="9">
        <f>(Y298-Y295)/Y295*100</f>
        <v>0.3710575139146709</v>
      </c>
      <c r="AN298" s="9">
        <f>(Z298-Z295)/Z295*100</f>
        <v>0.27359781121751414</v>
      </c>
      <c r="AO298" s="9">
        <f>(AB298-AB295)/AB295*100</f>
        <v>6.2421972534346275E-2</v>
      </c>
      <c r="AP298" s="9">
        <f>(AC298-AC295)/AC295*100</f>
        <v>1.0403120936280845</v>
      </c>
      <c r="AQ298" s="9">
        <f>(AE298-AE295)/AE295*100</f>
        <v>0.6377551020408162</v>
      </c>
      <c r="AS298" t="s">
        <v>85</v>
      </c>
      <c r="AT298" s="9">
        <f>CORREL(AG:AG,AK:AK)</f>
        <v>-2.6009658643739591E-2</v>
      </c>
    </row>
    <row r="299" spans="1:46" hidden="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c r="Q299">
        <v>158.69999999999999</v>
      </c>
      <c r="R299">
        <v>189.6</v>
      </c>
      <c r="S299">
        <v>165.3</v>
      </c>
      <c r="T299">
        <v>160.6</v>
      </c>
      <c r="U299">
        <v>164.5</v>
      </c>
      <c r="V299" t="s">
        <v>32</v>
      </c>
      <c r="W299">
        <v>161.69999999999999</v>
      </c>
      <c r="X299">
        <v>158.80000000000001</v>
      </c>
      <c r="Y299">
        <v>169.1</v>
      </c>
      <c r="Z299">
        <v>153.19999999999999</v>
      </c>
      <c r="AA299">
        <v>160</v>
      </c>
      <c r="AB299">
        <v>167.6</v>
      </c>
      <c r="AC299">
        <v>159.30000000000001</v>
      </c>
      <c r="AD299">
        <v>161.1</v>
      </c>
      <c r="AE299">
        <v>161.1</v>
      </c>
      <c r="AF299" s="13">
        <v>54.79</v>
      </c>
    </row>
    <row r="300" spans="1:46" hidden="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c r="AF300" s="14">
        <v>84.67</v>
      </c>
    </row>
    <row r="301" spans="1:46" x14ac:dyDescent="0.3">
      <c r="A301" t="s">
        <v>34</v>
      </c>
      <c r="B301">
        <v>2021</v>
      </c>
      <c r="C301" s="19" t="s">
        <v>38</v>
      </c>
      <c r="D301">
        <v>146.30000000000001</v>
      </c>
      <c r="E301">
        <v>200.5</v>
      </c>
      <c r="F301">
        <v>170.3</v>
      </c>
      <c r="G301">
        <v>156.1</v>
      </c>
      <c r="H301">
        <v>178.7</v>
      </c>
      <c r="I301">
        <v>167.1</v>
      </c>
      <c r="J301">
        <v>147.9</v>
      </c>
      <c r="K301">
        <v>165.4</v>
      </c>
      <c r="L301">
        <v>114.8</v>
      </c>
      <c r="M301">
        <v>168.2</v>
      </c>
      <c r="N301">
        <v>159.30000000000001</v>
      </c>
      <c r="O301">
        <v>170.4</v>
      </c>
      <c r="P301" s="19" t="str">
        <f>_xlfn.CONCAT(C301, " ",B301)</f>
        <v>May 2021</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c r="AF301" s="16">
        <v>30.61</v>
      </c>
      <c r="AG301" s="9">
        <f>(AF301-AF298)/AF298*100</f>
        <v>53.819095477386945</v>
      </c>
      <c r="AH301" s="9">
        <f>(Q301-Q298)/Q298*100</f>
        <v>1.7088607594936638</v>
      </c>
      <c r="AI301" s="9">
        <f>(U301-U298)/U298*100</f>
        <v>1.9707565162110579</v>
      </c>
      <c r="AJ301" s="9">
        <f>(V301-V298)/V298*100</f>
        <v>0.12391573729862988</v>
      </c>
      <c r="AK301" s="9">
        <f>(W301-W298)/W298*100</f>
        <v>2.4421593830334265</v>
      </c>
      <c r="AL301" s="9">
        <f>(X301-X298)/X298*100</f>
        <v>1.9104084321475474</v>
      </c>
      <c r="AM301" s="9">
        <f>(Y301-Y298)/Y298*100</f>
        <v>2.1565003080714726</v>
      </c>
      <c r="AN301" s="9">
        <f>(Z301-Z298)/Z298*100</f>
        <v>1.5688949522510309</v>
      </c>
      <c r="AO301" s="9">
        <f>(AB301-AB298)/AB298*100</f>
        <v>0.56144728633810181</v>
      </c>
      <c r="AP301" s="9">
        <f>(AC301-AC298)/AC298*100</f>
        <v>2.0592020592020517</v>
      </c>
      <c r="AQ301" s="9">
        <f>(AE301-AE298)/AE298*100</f>
        <v>1.6476552598225565</v>
      </c>
      <c r="AS301" t="s">
        <v>86</v>
      </c>
      <c r="AT301" s="9">
        <f>CORREL(AG:AG,AL:AL)</f>
        <v>0.23787205762233332</v>
      </c>
    </row>
    <row r="302" spans="1:46" hidden="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c r="Q302">
        <v>160.5</v>
      </c>
      <c r="R302">
        <v>189.1</v>
      </c>
      <c r="S302">
        <v>165.3</v>
      </c>
      <c r="T302">
        <v>159.9</v>
      </c>
      <c r="U302">
        <v>164.6</v>
      </c>
      <c r="V302" t="s">
        <v>32</v>
      </c>
      <c r="W302">
        <v>162.1</v>
      </c>
      <c r="X302">
        <v>159.19999999999999</v>
      </c>
      <c r="Y302">
        <v>169.7</v>
      </c>
      <c r="Z302">
        <v>154.19999999999999</v>
      </c>
      <c r="AA302">
        <v>160.4</v>
      </c>
      <c r="AB302">
        <v>166.8</v>
      </c>
      <c r="AC302">
        <v>159.4</v>
      </c>
      <c r="AD302">
        <v>161.5</v>
      </c>
      <c r="AE302">
        <v>162.1</v>
      </c>
      <c r="AF302" s="14">
        <v>43.35</v>
      </c>
    </row>
    <row r="303" spans="1:46" hidden="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c r="AF303" s="13">
        <v>73.540000000000006</v>
      </c>
    </row>
    <row r="304" spans="1:46" x14ac:dyDescent="0.3">
      <c r="A304" t="s">
        <v>34</v>
      </c>
      <c r="B304">
        <v>2021</v>
      </c>
      <c r="C304" s="19" t="s">
        <v>39</v>
      </c>
      <c r="D304">
        <v>146.69999999999999</v>
      </c>
      <c r="E304">
        <v>202</v>
      </c>
      <c r="F304">
        <v>180.7</v>
      </c>
      <c r="G304">
        <v>156.19999999999999</v>
      </c>
      <c r="H304">
        <v>183.7</v>
      </c>
      <c r="I304">
        <v>164.6</v>
      </c>
      <c r="J304">
        <v>155.4</v>
      </c>
      <c r="K304">
        <v>166</v>
      </c>
      <c r="L304">
        <v>115.1</v>
      </c>
      <c r="M304">
        <v>168.5</v>
      </c>
      <c r="N304">
        <v>160</v>
      </c>
      <c r="O304">
        <v>172.4</v>
      </c>
      <c r="P304" s="19" t="str">
        <f>_xlfn.CONCAT(C304, " ",B304)</f>
        <v>June 2021</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c r="AF304" s="15">
        <v>40.630000000000003</v>
      </c>
      <c r="AG304" s="9">
        <f>(AF304-AF301)/AF301*100</f>
        <v>32.734400522705009</v>
      </c>
      <c r="AH304" s="9">
        <f>(Q304-Q301)/Q301*100</f>
        <v>1.1823273179838243</v>
      </c>
      <c r="AI304" s="9">
        <f>(U304-U301)/U301*100</f>
        <v>0.18703241895260783</v>
      </c>
      <c r="AJ304" s="9">
        <f>(V304-V301)/V301*100</f>
        <v>-0.68069306930692719</v>
      </c>
      <c r="AK304" s="9">
        <f>(W304-W301)/W301*100</f>
        <v>0.25094102885822184</v>
      </c>
      <c r="AL304" s="9">
        <f>(X304-X301)/X301*100</f>
        <v>6.464124111184405E-2</v>
      </c>
      <c r="AM304" s="9">
        <f>(Y304-Y301)/Y301*100</f>
        <v>0.30156815440289503</v>
      </c>
      <c r="AN304" s="9">
        <f>(Z304-Z301)/Z301*100</f>
        <v>1.2088650100738636</v>
      </c>
      <c r="AO304" s="9">
        <f>(AB304-AB301)/AB301*100</f>
        <v>0.3101736972704715</v>
      </c>
      <c r="AP304" s="9">
        <f>(AC304-AC301)/AC301*100</f>
        <v>0.12610340479194013</v>
      </c>
      <c r="AQ304" s="9">
        <f>(AE304-AE301)/AE301*100</f>
        <v>0.56109725685785894</v>
      </c>
      <c r="AS304" t="s">
        <v>118</v>
      </c>
      <c r="AT304" s="9">
        <f>CORREL(AG:AG,AM:AM)</f>
        <v>0.29682663117031027</v>
      </c>
    </row>
    <row r="305" spans="1:46" hidden="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c r="Q305">
        <v>161.69999999999999</v>
      </c>
      <c r="R305">
        <v>189.7</v>
      </c>
      <c r="S305">
        <v>166</v>
      </c>
      <c r="T305">
        <v>161.1</v>
      </c>
      <c r="U305">
        <v>165.3</v>
      </c>
      <c r="V305" t="s">
        <v>32</v>
      </c>
      <c r="W305">
        <v>162.5</v>
      </c>
      <c r="X305">
        <v>160.30000000000001</v>
      </c>
      <c r="Y305">
        <v>170.4</v>
      </c>
      <c r="Z305">
        <v>157.1</v>
      </c>
      <c r="AA305">
        <v>160.69999999999999</v>
      </c>
      <c r="AB305">
        <v>167.2</v>
      </c>
      <c r="AC305">
        <v>160.4</v>
      </c>
      <c r="AD305">
        <v>162.80000000000001</v>
      </c>
      <c r="AE305">
        <v>163.19999999999999</v>
      </c>
      <c r="AF305" s="13">
        <v>71.98</v>
      </c>
    </row>
    <row r="306" spans="1:46" hidden="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c r="AF306" s="14">
        <v>64.73</v>
      </c>
    </row>
    <row r="307" spans="1:46" x14ac:dyDescent="0.3">
      <c r="A307" t="s">
        <v>34</v>
      </c>
      <c r="B307">
        <v>2021</v>
      </c>
      <c r="C307" s="19" t="s">
        <v>40</v>
      </c>
      <c r="D307">
        <v>146.4</v>
      </c>
      <c r="E307">
        <v>206.8</v>
      </c>
      <c r="F307">
        <v>182.2</v>
      </c>
      <c r="G307">
        <v>157.5</v>
      </c>
      <c r="H307">
        <v>182.1</v>
      </c>
      <c r="I307">
        <v>163.9</v>
      </c>
      <c r="J307">
        <v>164.2</v>
      </c>
      <c r="K307">
        <v>164</v>
      </c>
      <c r="L307">
        <v>114.5</v>
      </c>
      <c r="M307">
        <v>168.3</v>
      </c>
      <c r="N307">
        <v>160.9</v>
      </c>
      <c r="O307">
        <v>172.2</v>
      </c>
      <c r="P307" s="19" t="str">
        <f>_xlfn.CONCAT(C307, " ",B307)</f>
        <v>July 2021</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c r="AF307" s="16">
        <v>43.35</v>
      </c>
      <c r="AG307" s="9">
        <f>(AF307-AF304)/AF304*100</f>
        <v>6.694560669456064</v>
      </c>
      <c r="AH307" s="9">
        <f>(Q307-Q304)/Q304*100</f>
        <v>0.86100861008610452</v>
      </c>
      <c r="AI307" s="9">
        <f>(U307-U304)/U304*100</f>
        <v>0.43559427504668141</v>
      </c>
      <c r="AJ307" s="9">
        <f>(V307-V304)/V304*100</f>
        <v>0.62305295950155759</v>
      </c>
      <c r="AK307" s="9">
        <f>(W307-W304)/W304*100</f>
        <v>0.56320400500624357</v>
      </c>
      <c r="AL307" s="9">
        <f>(X307-X304)/X304*100</f>
        <v>0.64599483204134367</v>
      </c>
      <c r="AM307" s="9">
        <f>(Y307-Y304)/Y304*100</f>
        <v>0.42092603728201361</v>
      </c>
      <c r="AN307" s="9">
        <f>(Z307-Z304)/Z304*100</f>
        <v>1.5925680159256841</v>
      </c>
      <c r="AO307" s="9">
        <f>(AB307-AB304)/AB304*100</f>
        <v>0.927643784786642</v>
      </c>
      <c r="AP307" s="9">
        <f>(AC307-AC304)/AC304*100</f>
        <v>0.8186397984886542</v>
      </c>
      <c r="AQ307" s="9">
        <f>(AE307-AE304)/AE304*100</f>
        <v>0.74395536267823226</v>
      </c>
      <c r="AS307" t="s">
        <v>120</v>
      </c>
      <c r="AT307" s="9">
        <f>CORREL(AG:AG,AN:AN)</f>
        <v>-2.7788791759460876E-2</v>
      </c>
    </row>
    <row r="308" spans="1:46" hidden="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c r="Q308">
        <v>161.80000000000001</v>
      </c>
      <c r="R308">
        <v>190.2</v>
      </c>
      <c r="S308">
        <v>167</v>
      </c>
      <c r="T308">
        <v>162.6</v>
      </c>
      <c r="U308">
        <v>166.3</v>
      </c>
      <c r="V308" t="s">
        <v>32</v>
      </c>
      <c r="W308">
        <v>163.1</v>
      </c>
      <c r="X308">
        <v>160.9</v>
      </c>
      <c r="Y308">
        <v>171.1</v>
      </c>
      <c r="Z308">
        <v>157.69999999999999</v>
      </c>
      <c r="AA308">
        <v>161.1</v>
      </c>
      <c r="AB308">
        <v>167.5</v>
      </c>
      <c r="AC308">
        <v>160.30000000000001</v>
      </c>
      <c r="AD308">
        <v>163.30000000000001</v>
      </c>
      <c r="AE308">
        <v>163.6</v>
      </c>
      <c r="AF308" s="14">
        <v>78.540000000000006</v>
      </c>
    </row>
    <row r="309" spans="1:46" hidden="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c r="AF309" s="13">
        <v>30.61</v>
      </c>
    </row>
    <row r="310" spans="1:46" x14ac:dyDescent="0.3">
      <c r="A310" t="s">
        <v>34</v>
      </c>
      <c r="B310">
        <v>2021</v>
      </c>
      <c r="C310" s="19" t="s">
        <v>41</v>
      </c>
      <c r="D310">
        <v>146.6</v>
      </c>
      <c r="E310">
        <v>204</v>
      </c>
      <c r="F310">
        <v>172.8</v>
      </c>
      <c r="G310">
        <v>158.4</v>
      </c>
      <c r="H310">
        <v>188</v>
      </c>
      <c r="I310">
        <v>156.80000000000001</v>
      </c>
      <c r="J310">
        <v>162.19999999999999</v>
      </c>
      <c r="K310">
        <v>164.1</v>
      </c>
      <c r="L310">
        <v>119.7</v>
      </c>
      <c r="M310">
        <v>168.8</v>
      </c>
      <c r="N310">
        <v>162.69999999999999</v>
      </c>
      <c r="O310">
        <v>173.9</v>
      </c>
      <c r="P310" s="19" t="str">
        <f>_xlfn.CONCAT(C310, " ",B310)</f>
        <v>August 2021</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c r="AF310" s="16">
        <v>44.19</v>
      </c>
      <c r="AG310" s="9">
        <f>(AF310-AF307)/AF307*100</f>
        <v>1.93771626297577</v>
      </c>
      <c r="AH310" s="9">
        <f>(Q310-Q307)/Q307*100</f>
        <v>0</v>
      </c>
      <c r="AI310" s="9">
        <f>(U310-U307)/U307*100</f>
        <v>1.1152416356877217</v>
      </c>
      <c r="AJ310" s="9">
        <f>(V310-V307)/V307*100</f>
        <v>0.37151702786377355</v>
      </c>
      <c r="AK310" s="9">
        <f>(W310-W307)/W307*100</f>
        <v>1.1823273179838243</v>
      </c>
      <c r="AL310" s="9">
        <f>(X310-X307)/X307*100</f>
        <v>1.0911424903722649</v>
      </c>
      <c r="AM310" s="9">
        <f>(Y310-Y307)/Y307*100</f>
        <v>0.83832335329341656</v>
      </c>
      <c r="AN310" s="9">
        <f>(Z310-Z307)/Z307*100</f>
        <v>0.58785107772697953</v>
      </c>
      <c r="AO310" s="9">
        <f>(AB310-AB307)/AB307*100</f>
        <v>0.36764705882354337</v>
      </c>
      <c r="AP310" s="9">
        <f>(AC310-AC307)/AC307*100</f>
        <v>-6.2460961898809696E-2</v>
      </c>
      <c r="AQ310" s="9">
        <f>(AE310-AE307)/AE307*100</f>
        <v>0.4307692307692238</v>
      </c>
      <c r="AS310" t="s">
        <v>26</v>
      </c>
      <c r="AT310" s="9">
        <f>CORREL(AG:AG,AO:AO)</f>
        <v>0.11182567087214877</v>
      </c>
    </row>
    <row r="311" spans="1:46" hidden="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c r="Q311">
        <v>162.1</v>
      </c>
      <c r="R311">
        <v>190.5</v>
      </c>
      <c r="S311">
        <v>167.7</v>
      </c>
      <c r="T311">
        <v>163.6</v>
      </c>
      <c r="U311">
        <v>167.1</v>
      </c>
      <c r="V311" t="s">
        <v>32</v>
      </c>
      <c r="W311">
        <v>163.69999999999999</v>
      </c>
      <c r="X311">
        <v>161.30000000000001</v>
      </c>
      <c r="Y311">
        <v>171.9</v>
      </c>
      <c r="Z311">
        <v>157.80000000000001</v>
      </c>
      <c r="AA311">
        <v>162.69999999999999</v>
      </c>
      <c r="AB311">
        <v>168.5</v>
      </c>
      <c r="AC311">
        <v>160.19999999999999</v>
      </c>
      <c r="AD311">
        <v>163.80000000000001</v>
      </c>
      <c r="AE311">
        <v>164</v>
      </c>
      <c r="AF311" s="13">
        <v>109.51</v>
      </c>
    </row>
    <row r="312" spans="1:46" hidden="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c r="AF312" s="14">
        <v>43.34</v>
      </c>
    </row>
    <row r="313" spans="1:46" x14ac:dyDescent="0.3">
      <c r="A313" t="s">
        <v>34</v>
      </c>
      <c r="B313">
        <v>2021</v>
      </c>
      <c r="C313" s="19" t="s">
        <v>42</v>
      </c>
      <c r="D313">
        <v>146.6</v>
      </c>
      <c r="E313">
        <v>204</v>
      </c>
      <c r="F313">
        <v>172.8</v>
      </c>
      <c r="G313">
        <v>158.4</v>
      </c>
      <c r="H313">
        <v>188</v>
      </c>
      <c r="I313">
        <v>156.69999999999999</v>
      </c>
      <c r="J313">
        <v>162.30000000000001</v>
      </c>
      <c r="K313">
        <v>164.1</v>
      </c>
      <c r="L313">
        <v>119.7</v>
      </c>
      <c r="M313">
        <v>168.8</v>
      </c>
      <c r="N313">
        <v>162.69999999999999</v>
      </c>
      <c r="O313">
        <v>173.9</v>
      </c>
      <c r="P313" s="19" t="str">
        <f>_xlfn.CONCAT(C313, " ",B313)</f>
        <v>September 2021</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c r="AF313" s="15">
        <v>41.35</v>
      </c>
      <c r="AG313" s="9">
        <f>(AF313-AF310)/AF310*100</f>
        <v>-6.4267933921701657</v>
      </c>
      <c r="AH313" s="9">
        <f>(Q313-Q310)/Q310*100</f>
        <v>0</v>
      </c>
      <c r="AI313" s="9">
        <f>(U313-U310)/U310*100</f>
        <v>6.1274509803935499E-2</v>
      </c>
      <c r="AJ313" s="9">
        <f>(V313-V310)/V310*100</f>
        <v>0</v>
      </c>
      <c r="AK313" s="9">
        <f>(W313-W310)/W310*100</f>
        <v>0</v>
      </c>
      <c r="AL313" s="9">
        <f>(X313-X310)/X310*100</f>
        <v>0</v>
      </c>
      <c r="AM313" s="9">
        <f>(Y313-Y310)/Y310*100</f>
        <v>0</v>
      </c>
      <c r="AN313" s="9">
        <f>(Z313-Z310)/Z310*100</f>
        <v>0</v>
      </c>
      <c r="AO313" s="9">
        <f>(AB313-AB310)/AB310*100</f>
        <v>-6.1050061050074926E-2</v>
      </c>
      <c r="AP313" s="9">
        <f>(AC313-AC310)/AC310*100</f>
        <v>0</v>
      </c>
      <c r="AQ313" s="9">
        <f>(AE313-AE310)/AE310*100</f>
        <v>0</v>
      </c>
      <c r="AS313" t="s">
        <v>148</v>
      </c>
      <c r="AT313" s="9">
        <f>CORREL(AG:AG,AP:AP)</f>
        <v>4.8900542484075216E-2</v>
      </c>
    </row>
    <row r="314" spans="1:46" hidden="1"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c r="Q314">
        <v>165.5</v>
      </c>
      <c r="R314">
        <v>191.2</v>
      </c>
      <c r="S314">
        <v>168.9</v>
      </c>
      <c r="T314">
        <v>164.8</v>
      </c>
      <c r="U314">
        <v>168.3</v>
      </c>
      <c r="V314" t="s">
        <v>32</v>
      </c>
      <c r="W314">
        <v>165.5</v>
      </c>
      <c r="X314">
        <v>162</v>
      </c>
      <c r="Y314">
        <v>172.5</v>
      </c>
      <c r="Z314">
        <v>159.5</v>
      </c>
      <c r="AA314">
        <v>163.19999999999999</v>
      </c>
      <c r="AB314">
        <v>169</v>
      </c>
      <c r="AC314">
        <v>161.1</v>
      </c>
      <c r="AD314">
        <v>164.7</v>
      </c>
      <c r="AE314">
        <v>166.3</v>
      </c>
      <c r="AF314" s="14">
        <v>40.659999999999997</v>
      </c>
    </row>
    <row r="315" spans="1:46" hidden="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c r="AF315" s="13">
        <v>82.11</v>
      </c>
    </row>
    <row r="316" spans="1:46" x14ac:dyDescent="0.3">
      <c r="A316" t="s">
        <v>34</v>
      </c>
      <c r="B316">
        <v>2021</v>
      </c>
      <c r="C316" s="19" t="s">
        <v>43</v>
      </c>
      <c r="D316">
        <v>147.4</v>
      </c>
      <c r="E316">
        <v>204.6</v>
      </c>
      <c r="F316">
        <v>171.2</v>
      </c>
      <c r="G316">
        <v>158.69999999999999</v>
      </c>
      <c r="H316">
        <v>190.6</v>
      </c>
      <c r="I316">
        <v>155.69999999999999</v>
      </c>
      <c r="J316">
        <v>185.3</v>
      </c>
      <c r="K316">
        <v>165.2</v>
      </c>
      <c r="L316">
        <v>121.9</v>
      </c>
      <c r="M316">
        <v>169.3</v>
      </c>
      <c r="N316">
        <v>163.19999999999999</v>
      </c>
      <c r="O316">
        <v>174.7</v>
      </c>
      <c r="P316" s="19" t="str">
        <f>_xlfn.CONCAT(C316, " ",B316)</f>
        <v>October 2021</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c r="AF316" s="15">
        <v>40.659999999999997</v>
      </c>
      <c r="AG316" s="9">
        <f>(AF316-AF313)/AF313*100</f>
        <v>-1.6686819830713537</v>
      </c>
      <c r="AH316" s="9">
        <f>(Q316-Q313)/Q313*100</f>
        <v>2.2560975609756029</v>
      </c>
      <c r="AI316" s="9">
        <f>(U316-U313)/U313*100</f>
        <v>0.61236987140232702</v>
      </c>
      <c r="AJ316" s="9">
        <f>(V316-V313)/V313*100</f>
        <v>0.92535471930906854</v>
      </c>
      <c r="AK316" s="9">
        <f>(W316-W313)/W313*100</f>
        <v>0.98400984009839754</v>
      </c>
      <c r="AL316" s="9">
        <f>(X316-X313)/X313*100</f>
        <v>0.57142857142857506</v>
      </c>
      <c r="AM316" s="9">
        <f>(Y316-Y313)/Y313*100</f>
        <v>0.41567695961994572</v>
      </c>
      <c r="AN316" s="9">
        <f>(Z316-Z313)/Z313*100</f>
        <v>1.1038961038960964</v>
      </c>
      <c r="AO316" s="9">
        <f>(AB316-AB313)/AB313*100</f>
        <v>0.12217470983507457</v>
      </c>
      <c r="AP316" s="9">
        <f>(AC316-AC313)/AC313*100</f>
        <v>0.50000000000000711</v>
      </c>
      <c r="AQ316" s="9">
        <f>(AE316-AE313)/AE313*100</f>
        <v>1.4093137254902033</v>
      </c>
      <c r="AS316" t="s">
        <v>122</v>
      </c>
      <c r="AT316" s="9">
        <f>CORREL(AG:AG,AQ:AQ)</f>
        <v>-9.1401196358344511E-2</v>
      </c>
    </row>
    <row r="317" spans="1:46" hidden="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c r="Q317">
        <v>167.5</v>
      </c>
      <c r="R317">
        <v>191.4</v>
      </c>
      <c r="S317">
        <v>170.4</v>
      </c>
      <c r="T317">
        <v>166</v>
      </c>
      <c r="U317">
        <v>169.8</v>
      </c>
      <c r="V317" t="s">
        <v>32</v>
      </c>
      <c r="W317">
        <v>165.3</v>
      </c>
      <c r="X317">
        <v>162.9</v>
      </c>
      <c r="Y317">
        <v>173.4</v>
      </c>
      <c r="Z317">
        <v>158.9</v>
      </c>
      <c r="AA317">
        <v>163.80000000000001</v>
      </c>
      <c r="AB317">
        <v>169.3</v>
      </c>
      <c r="AC317">
        <v>162.4</v>
      </c>
      <c r="AD317">
        <v>165.2</v>
      </c>
      <c r="AE317">
        <v>167.6</v>
      </c>
      <c r="AF317" s="13">
        <v>73.13</v>
      </c>
    </row>
    <row r="318" spans="1:46" hidden="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row>
    <row r="319" spans="1:46" x14ac:dyDescent="0.3">
      <c r="A319" t="s">
        <v>34</v>
      </c>
      <c r="B319">
        <v>2021</v>
      </c>
      <c r="C319" s="19" t="s">
        <v>45</v>
      </c>
      <c r="D319">
        <v>148.19999999999999</v>
      </c>
      <c r="E319">
        <v>201.6</v>
      </c>
      <c r="F319">
        <v>173</v>
      </c>
      <c r="G319">
        <v>159.30000000000001</v>
      </c>
      <c r="H319">
        <v>190.1</v>
      </c>
      <c r="I319">
        <v>156.5</v>
      </c>
      <c r="J319">
        <v>199.2</v>
      </c>
      <c r="K319">
        <v>165.3</v>
      </c>
      <c r="L319">
        <v>122.4</v>
      </c>
      <c r="M319">
        <v>169.6</v>
      </c>
      <c r="N319">
        <v>163.69999999999999</v>
      </c>
      <c r="O319">
        <v>175.5</v>
      </c>
      <c r="P319" s="19" t="str">
        <f>_xlfn.CONCAT(C319, " ",B319)</f>
        <v>November 2021</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c r="AF319" s="17">
        <v>43.34</v>
      </c>
      <c r="AG319" s="9">
        <f>(AF319-AF316)/AF316*100</f>
        <v>6.5912444663059695</v>
      </c>
      <c r="AH319" s="9">
        <f>(Q319-Q316)/Q316*100</f>
        <v>1.1926058437686344</v>
      </c>
      <c r="AI319" s="9">
        <f>(U319-U316)/U316*100</f>
        <v>0.91296409007912349</v>
      </c>
      <c r="AJ319" s="9">
        <f>(V319-V316)/V316*100</f>
        <v>0.36674816625916523</v>
      </c>
      <c r="AK319" s="9">
        <f>(W319-W316)/W316*100</f>
        <v>-0.18270401948841836</v>
      </c>
      <c r="AL319" s="9">
        <f>(X319-X316)/X316*100</f>
        <v>0.56818181818182178</v>
      </c>
      <c r="AM319" s="9">
        <f>(Y319-Y316)/Y316*100</f>
        <v>0.47309284447073408</v>
      </c>
      <c r="AN319" s="9">
        <f>(Z319-Z316)/Z316*100</f>
        <v>-0.57803468208091024</v>
      </c>
      <c r="AO319" s="9">
        <f>(AB319-AB316)/AB316*100</f>
        <v>0.24405125076266362</v>
      </c>
      <c r="AP319" s="9">
        <f>(AC319-AC316)/AC316*100</f>
        <v>0.87064676616914005</v>
      </c>
      <c r="AQ319" s="9">
        <f>(AE319-AE316)/AE316*100</f>
        <v>0.72507552870089953</v>
      </c>
      <c r="AT319" s="9"/>
    </row>
    <row r="320" spans="1:46" hidden="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c r="Q320">
        <v>165.8</v>
      </c>
      <c r="R320">
        <v>190.8</v>
      </c>
      <c r="S320">
        <v>171.8</v>
      </c>
      <c r="T320">
        <v>167.3</v>
      </c>
      <c r="U320">
        <v>171.2</v>
      </c>
      <c r="V320" t="s">
        <v>32</v>
      </c>
      <c r="W320">
        <v>165.6</v>
      </c>
      <c r="X320">
        <v>163.9</v>
      </c>
      <c r="Y320">
        <v>174</v>
      </c>
      <c r="Z320">
        <v>160.1</v>
      </c>
      <c r="AA320">
        <v>164.5</v>
      </c>
      <c r="AB320">
        <v>169.7</v>
      </c>
      <c r="AC320">
        <v>162.80000000000001</v>
      </c>
      <c r="AD320">
        <v>166</v>
      </c>
      <c r="AE320">
        <v>167</v>
      </c>
    </row>
    <row r="321" spans="1:46" hidden="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row>
    <row r="322" spans="1:46" x14ac:dyDescent="0.3">
      <c r="A322" t="s">
        <v>34</v>
      </c>
      <c r="B322">
        <v>2021</v>
      </c>
      <c r="C322" s="19" t="s">
        <v>46</v>
      </c>
      <c r="D322">
        <v>148.69999999999999</v>
      </c>
      <c r="E322">
        <v>198.8</v>
      </c>
      <c r="F322">
        <v>177.9</v>
      </c>
      <c r="G322">
        <v>159.9</v>
      </c>
      <c r="H322">
        <v>187.6</v>
      </c>
      <c r="I322">
        <v>154.9</v>
      </c>
      <c r="J322">
        <v>188.3</v>
      </c>
      <c r="K322">
        <v>164.4</v>
      </c>
      <c r="L322">
        <v>121</v>
      </c>
      <c r="M322">
        <v>170.5</v>
      </c>
      <c r="N322">
        <v>164.2</v>
      </c>
      <c r="O322">
        <v>176.5</v>
      </c>
      <c r="P322" s="19" t="str">
        <f>_xlfn.CONCAT(C322, " ",B322)</f>
        <v>December 2021</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c r="AF322" s="18">
        <v>49.84</v>
      </c>
      <c r="AG322" s="9">
        <f>(AF322-AF319)/AF319*100</f>
        <v>14.99769266266728</v>
      </c>
      <c r="AH322" s="9">
        <f>(Q322-Q319)/Q319*100</f>
        <v>-0.8839127872716559</v>
      </c>
      <c r="AI322" s="9">
        <f>(U322-U319)/U319*100</f>
        <v>0.72376357056694118</v>
      </c>
      <c r="AJ322" s="9">
        <f>(V322-V319)/V319*100</f>
        <v>-0.48721071863579962</v>
      </c>
      <c r="AK322" s="9">
        <f>(W322-W319)/W319*100</f>
        <v>0.12202562538132314</v>
      </c>
      <c r="AL322" s="9">
        <f>(X322-X319)/X319*100</f>
        <v>0.56497175141241507</v>
      </c>
      <c r="AM322" s="9">
        <f>(Y322-Y319)/Y319*100</f>
        <v>0.41200706297821577</v>
      </c>
      <c r="AN322" s="9">
        <f>(Z322-Z319)/Z319*100</f>
        <v>0.58139534883719457</v>
      </c>
      <c r="AO322" s="9">
        <f>(AB322-AB319)/AB319*100</f>
        <v>6.0864272671938099E-2</v>
      </c>
      <c r="AP322" s="9">
        <f>(AC322-AC319)/AC319*100</f>
        <v>0.24660912453761141</v>
      </c>
      <c r="AQ322" s="9">
        <f>(AE322-AE319)/AE319*100</f>
        <v>-0.29994001199760051</v>
      </c>
      <c r="AS322" s="6" t="s">
        <v>87</v>
      </c>
      <c r="AT322" s="9" t="s">
        <v>150</v>
      </c>
    </row>
    <row r="323" spans="1:46"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c r="Q323">
        <v>164.1</v>
      </c>
      <c r="R323">
        <v>190.7</v>
      </c>
      <c r="S323">
        <v>173.2</v>
      </c>
      <c r="T323">
        <v>169.3</v>
      </c>
      <c r="U323">
        <v>172.7</v>
      </c>
      <c r="V323" t="s">
        <v>32</v>
      </c>
      <c r="W323">
        <v>165.8</v>
      </c>
      <c r="X323">
        <v>164.9</v>
      </c>
      <c r="Y323">
        <v>174.7</v>
      </c>
      <c r="Z323">
        <v>160.80000000000001</v>
      </c>
      <c r="AA323">
        <v>164.9</v>
      </c>
      <c r="AB323">
        <v>169.9</v>
      </c>
      <c r="AC323">
        <v>163.19999999999999</v>
      </c>
      <c r="AD323">
        <v>166.6</v>
      </c>
      <c r="AE323">
        <v>166.4</v>
      </c>
      <c r="AS323" s="7" t="s">
        <v>17</v>
      </c>
      <c r="AT323" s="21">
        <v>0.25592996506591298</v>
      </c>
    </row>
    <row r="324" spans="1:46" hidden="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c r="AS324" s="7" t="s">
        <v>26</v>
      </c>
      <c r="AT324" s="21">
        <v>0.11182567087214877</v>
      </c>
    </row>
    <row r="325" spans="1:46" x14ac:dyDescent="0.3">
      <c r="A325" t="s">
        <v>34</v>
      </c>
      <c r="B325">
        <v>2022</v>
      </c>
      <c r="C325" s="19" t="s">
        <v>31</v>
      </c>
      <c r="D325">
        <v>149.5</v>
      </c>
      <c r="E325">
        <v>198.7</v>
      </c>
      <c r="F325">
        <v>178.8</v>
      </c>
      <c r="G325">
        <v>160.5</v>
      </c>
      <c r="H325">
        <v>184.7</v>
      </c>
      <c r="I325">
        <v>153.69999999999999</v>
      </c>
      <c r="J325">
        <v>174.3</v>
      </c>
      <c r="K325">
        <v>163.9</v>
      </c>
      <c r="L325">
        <v>120</v>
      </c>
      <c r="M325">
        <v>172.1</v>
      </c>
      <c r="N325">
        <v>164.3</v>
      </c>
      <c r="O325">
        <v>177.3</v>
      </c>
      <c r="P325" s="19" t="str">
        <f>_xlfn.CONCAT(C325, " ",B325)</f>
        <v>January 2022</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c r="AF325" s="18">
        <v>84.67</v>
      </c>
      <c r="AG325" s="9">
        <f>(AF325-AF322)/AF322*100</f>
        <v>69.8836276083467</v>
      </c>
      <c r="AH325" s="9">
        <f>(Q325-Q322)/Q322*100</f>
        <v>-1.070154577883462</v>
      </c>
      <c r="AI325" s="9">
        <f>(U325-U322)/U322*100</f>
        <v>0.89820359281437123</v>
      </c>
      <c r="AJ325" s="9">
        <f>(V325-V322)/V322*100</f>
        <v>0.67319461444308093</v>
      </c>
      <c r="AK325" s="9">
        <f>(W325-W322)/W322*100</f>
        <v>6.0938452163311584E-2</v>
      </c>
      <c r="AL325" s="9">
        <f>(X325-X322)/X322*100</f>
        <v>0.56179775280899236</v>
      </c>
      <c r="AM325" s="9">
        <f>(Y325-Y322)/Y322*100</f>
        <v>0.46893317702228099</v>
      </c>
      <c r="AN325" s="9">
        <f>(Z325-Z322)/Z322*100</f>
        <v>0.51380860629416281</v>
      </c>
      <c r="AO325" s="9">
        <f>(AB325-AB322)/AB322*100</f>
        <v>0.18248175182480714</v>
      </c>
      <c r="AP325" s="9">
        <f>(AC325-AC322)/AC322*100</f>
        <v>0.24600246002460377</v>
      </c>
      <c r="AQ325" s="9">
        <f>(AE325-AE322)/AE322*100</f>
        <v>-0.30084235860409148</v>
      </c>
      <c r="AS325" s="7" t="s">
        <v>147</v>
      </c>
      <c r="AT325" s="9">
        <v>-0.11221849780136414</v>
      </c>
    </row>
    <row r="326" spans="1:46" hidden="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c r="Q326">
        <v>163.9</v>
      </c>
      <c r="R326">
        <v>191.5</v>
      </c>
      <c r="S326">
        <v>174.1</v>
      </c>
      <c r="T326">
        <v>171</v>
      </c>
      <c r="U326">
        <v>173.7</v>
      </c>
      <c r="V326" t="s">
        <v>32</v>
      </c>
      <c r="W326">
        <v>167.4</v>
      </c>
      <c r="X326">
        <v>165.7</v>
      </c>
      <c r="Y326">
        <v>175.3</v>
      </c>
      <c r="Z326">
        <v>161.19999999999999</v>
      </c>
      <c r="AA326">
        <v>165.5</v>
      </c>
      <c r="AB326">
        <v>170.3</v>
      </c>
      <c r="AC326">
        <v>164.5</v>
      </c>
      <c r="AD326">
        <v>167.3</v>
      </c>
      <c r="AE326">
        <v>166.7</v>
      </c>
      <c r="AS326" s="7" t="s">
        <v>85</v>
      </c>
      <c r="AT326" s="21">
        <v>-2.6009658643739591E-2</v>
      </c>
    </row>
    <row r="327" spans="1:46" hidden="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c r="Q327">
        <v>170.2</v>
      </c>
      <c r="R327">
        <v>196.5</v>
      </c>
      <c r="S327">
        <v>165.7</v>
      </c>
      <c r="T327">
        <v>150.4</v>
      </c>
      <c r="U327">
        <v>163.4</v>
      </c>
      <c r="V327">
        <v>165.5</v>
      </c>
      <c r="W327">
        <v>163</v>
      </c>
      <c r="X327">
        <v>157.4</v>
      </c>
      <c r="Y327">
        <v>167.2</v>
      </c>
      <c r="Z327">
        <v>153.1</v>
      </c>
      <c r="AA327">
        <v>159.5</v>
      </c>
      <c r="AB327">
        <v>162</v>
      </c>
      <c r="AC327">
        <v>164.2</v>
      </c>
      <c r="AD327">
        <v>159.4</v>
      </c>
      <c r="AE327">
        <v>165.5</v>
      </c>
      <c r="AS327" s="7" t="s">
        <v>122</v>
      </c>
      <c r="AT327" s="21">
        <v>-9.1401196358344511E-2</v>
      </c>
    </row>
    <row r="328" spans="1:46" x14ac:dyDescent="0.3">
      <c r="A328" t="s">
        <v>34</v>
      </c>
      <c r="B328">
        <v>2022</v>
      </c>
      <c r="C328" s="19" t="s">
        <v>35</v>
      </c>
      <c r="D328">
        <v>150</v>
      </c>
      <c r="E328">
        <v>200.6</v>
      </c>
      <c r="F328">
        <v>175.8</v>
      </c>
      <c r="G328">
        <v>160.69999999999999</v>
      </c>
      <c r="H328">
        <v>184.9</v>
      </c>
      <c r="I328">
        <v>153.69999999999999</v>
      </c>
      <c r="J328">
        <v>169.7</v>
      </c>
      <c r="K328">
        <v>163.69999999999999</v>
      </c>
      <c r="L328">
        <v>118.9</v>
      </c>
      <c r="M328">
        <v>174.3</v>
      </c>
      <c r="N328">
        <v>164.7</v>
      </c>
      <c r="O328">
        <v>178</v>
      </c>
      <c r="P328" s="19" t="str">
        <f>_xlfn.CONCAT(C328, " ",B328)</f>
        <v>February 2022</v>
      </c>
      <c r="Q328">
        <v>166.2</v>
      </c>
      <c r="R328">
        <v>192.8</v>
      </c>
      <c r="S328">
        <v>170.8</v>
      </c>
      <c r="T328">
        <v>162.4</v>
      </c>
      <c r="U328">
        <v>169.6</v>
      </c>
      <c r="V328">
        <v>165.5</v>
      </c>
      <c r="W328">
        <v>165.7</v>
      </c>
      <c r="X328">
        <v>161.80000000000001</v>
      </c>
      <c r="Y328">
        <v>172.2</v>
      </c>
      <c r="Z328">
        <v>156.9</v>
      </c>
      <c r="AA328">
        <v>162.1</v>
      </c>
      <c r="AB328">
        <v>165.4</v>
      </c>
      <c r="AC328">
        <v>164.4</v>
      </c>
      <c r="AD328">
        <v>163.5</v>
      </c>
      <c r="AE328">
        <v>166.1</v>
      </c>
      <c r="AF328" s="17">
        <v>94.07</v>
      </c>
      <c r="AG328" s="9">
        <f>(AF328-AF325)/AF325*100</f>
        <v>11.101925121058215</v>
      </c>
      <c r="AH328" s="9">
        <f>(Q328-Q325)/Q325*100</f>
        <v>-0.12019230769231794</v>
      </c>
      <c r="AI328" s="9">
        <f>(U328-U325)/U325*100</f>
        <v>0.65281899109791952</v>
      </c>
      <c r="AJ328" s="9">
        <f>(V328-V325)/V325*100</f>
        <v>0.60790273556231</v>
      </c>
      <c r="AK328" s="9">
        <f>(W328-W325)/W325*100</f>
        <v>0.91352009744214369</v>
      </c>
      <c r="AL328" s="9">
        <f>(X328-X325)/X325*100</f>
        <v>0.43451272501552896</v>
      </c>
      <c r="AM328" s="9">
        <f>(Y328-Y325)/Y325*100</f>
        <v>0.46674445740955833</v>
      </c>
      <c r="AN328" s="9">
        <f>(Z328-Z325)/Z325*100</f>
        <v>0.25559105431310269</v>
      </c>
      <c r="AO328" s="9">
        <f>(AB328-AB325)/AB325*100</f>
        <v>0.42501517911355013</v>
      </c>
      <c r="AP328" s="9">
        <f>(AC328-AC325)/AC325*100</f>
        <v>0.85889570552147598</v>
      </c>
      <c r="AQ328" s="9">
        <f>(AE328-AE325)/AE325*100</f>
        <v>0.24140012070006378</v>
      </c>
      <c r="AS328" s="7" t="s">
        <v>118</v>
      </c>
      <c r="AT328" s="9">
        <v>0.29682663117031027</v>
      </c>
    </row>
    <row r="329" spans="1:46" hidden="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c r="Q329">
        <v>166.6</v>
      </c>
      <c r="R329">
        <v>192.3</v>
      </c>
      <c r="S329">
        <v>175.4</v>
      </c>
      <c r="T329">
        <v>173.2</v>
      </c>
      <c r="U329">
        <v>175.1</v>
      </c>
      <c r="V329" t="s">
        <v>32</v>
      </c>
      <c r="W329">
        <v>168.9</v>
      </c>
      <c r="X329">
        <v>166.5</v>
      </c>
      <c r="Y329">
        <v>176</v>
      </c>
      <c r="Z329">
        <v>162</v>
      </c>
      <c r="AA329">
        <v>166.6</v>
      </c>
      <c r="AB329">
        <v>170.6</v>
      </c>
      <c r="AC329">
        <v>167.4</v>
      </c>
      <c r="AD329">
        <v>168.3</v>
      </c>
      <c r="AE329">
        <v>168.7</v>
      </c>
      <c r="AS329" s="7" t="s">
        <v>86</v>
      </c>
      <c r="AT329" s="21">
        <v>0.23787205762233332</v>
      </c>
    </row>
    <row r="330" spans="1:46" hidden="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c r="AS330" s="7" t="s">
        <v>20</v>
      </c>
      <c r="AT330" s="21">
        <v>-0.18782381563551392</v>
      </c>
    </row>
    <row r="331" spans="1:46" x14ac:dyDescent="0.3">
      <c r="A331" t="s">
        <v>34</v>
      </c>
      <c r="B331">
        <v>2022</v>
      </c>
      <c r="C331" s="19" t="s">
        <v>36</v>
      </c>
      <c r="D331">
        <v>151.30000000000001</v>
      </c>
      <c r="E331">
        <v>210.7</v>
      </c>
      <c r="F331">
        <v>167.8</v>
      </c>
      <c r="G331">
        <v>162.19999999999999</v>
      </c>
      <c r="H331">
        <v>194.6</v>
      </c>
      <c r="I331">
        <v>157.6</v>
      </c>
      <c r="J331">
        <v>166.9</v>
      </c>
      <c r="K331">
        <v>163.9</v>
      </c>
      <c r="L331">
        <v>118.8</v>
      </c>
      <c r="M331">
        <v>177.4</v>
      </c>
      <c r="N331">
        <v>165.3</v>
      </c>
      <c r="O331">
        <v>179.3</v>
      </c>
      <c r="P331" s="19" t="str">
        <f>_xlfn.CONCAT(C331, " ",B331)</f>
        <v>March 2022</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c r="AF331" s="17">
        <v>112.87</v>
      </c>
      <c r="AG331" s="9">
        <f>(AF331-AF328)/AF328*100</f>
        <v>19.985117465717035</v>
      </c>
      <c r="AH331" s="9">
        <f>(Q331-Q328)/Q328*100</f>
        <v>1.3237063778580127</v>
      </c>
      <c r="AI331" s="9">
        <f>(U331-U328)/U328*100</f>
        <v>0.88443396226415094</v>
      </c>
      <c r="AJ331" s="9">
        <f>(V331-V328)/V328*100</f>
        <v>-0.12084592145014418</v>
      </c>
      <c r="AK331" s="9">
        <f>(W331-W328)/W328*100</f>
        <v>0.9052504526252263</v>
      </c>
      <c r="AL331" s="9">
        <f>(X331-X328)/X328*100</f>
        <v>0.61804697156983934</v>
      </c>
      <c r="AM331" s="9">
        <f>(Y331-Y328)/Y328*100</f>
        <v>0.46457607433217851</v>
      </c>
      <c r="AN331" s="9">
        <f>(Z331-Z328)/Z328*100</f>
        <v>0.63734862970044615</v>
      </c>
      <c r="AO331" s="9">
        <f>(AB331-AB328)/AB328*100</f>
        <v>0.36275695284159265</v>
      </c>
      <c r="AP331" s="9">
        <f>(AC331-AC328)/AC328*100</f>
        <v>1.7031630170316197</v>
      </c>
      <c r="AQ331" s="9">
        <f>(AE331-AE328)/AE328*100</f>
        <v>0.96327513546056243</v>
      </c>
      <c r="AS331" s="7" t="s">
        <v>148</v>
      </c>
      <c r="AT331" s="9">
        <v>4.8900542484075216E-2</v>
      </c>
    </row>
    <row r="332" spans="1:46" hidden="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c r="Q332">
        <v>168.6</v>
      </c>
      <c r="R332">
        <v>192.8</v>
      </c>
      <c r="S332">
        <v>177.5</v>
      </c>
      <c r="T332">
        <v>175.1</v>
      </c>
      <c r="U332">
        <v>177.1</v>
      </c>
      <c r="V332" t="s">
        <v>32</v>
      </c>
      <c r="W332">
        <v>173.3</v>
      </c>
      <c r="X332">
        <v>167.7</v>
      </c>
      <c r="Y332">
        <v>177</v>
      </c>
      <c r="Z332">
        <v>166.2</v>
      </c>
      <c r="AA332">
        <v>167.2</v>
      </c>
      <c r="AB332">
        <v>170.9</v>
      </c>
      <c r="AC332">
        <v>169</v>
      </c>
      <c r="AD332">
        <v>170.2</v>
      </c>
      <c r="AE332">
        <v>170.8</v>
      </c>
      <c r="AS332" s="7" t="s">
        <v>120</v>
      </c>
      <c r="AT332" s="21">
        <v>-2.7788791759460876E-2</v>
      </c>
    </row>
    <row r="333" spans="1:46" hidden="1"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c r="AS333" s="7" t="s">
        <v>121</v>
      </c>
      <c r="AT333" s="21"/>
    </row>
    <row r="334" spans="1:46" x14ac:dyDescent="0.3">
      <c r="A334" t="s">
        <v>34</v>
      </c>
      <c r="B334">
        <v>2022</v>
      </c>
      <c r="C334" s="19" t="s">
        <v>37</v>
      </c>
      <c r="D334">
        <v>152.9</v>
      </c>
      <c r="E334">
        <v>211.8</v>
      </c>
      <c r="F334">
        <v>164.5</v>
      </c>
      <c r="G334">
        <v>163.9</v>
      </c>
      <c r="H334">
        <v>199.5</v>
      </c>
      <c r="I334">
        <v>172.6</v>
      </c>
      <c r="J334">
        <v>166.2</v>
      </c>
      <c r="K334">
        <v>164.7</v>
      </c>
      <c r="L334">
        <v>119</v>
      </c>
      <c r="M334">
        <v>181.3</v>
      </c>
      <c r="N334">
        <v>166.2</v>
      </c>
      <c r="O334">
        <v>180.9</v>
      </c>
      <c r="P334" s="19" t="str">
        <f>_xlfn.CONCAT(C334, " ",B334)</f>
        <v>April 2022</v>
      </c>
      <c r="Q334">
        <v>170.8</v>
      </c>
      <c r="R334">
        <v>193.9</v>
      </c>
      <c r="S334">
        <v>173.9</v>
      </c>
      <c r="T334">
        <v>166.5</v>
      </c>
      <c r="U334">
        <v>172.8</v>
      </c>
      <c r="V334">
        <v>167</v>
      </c>
      <c r="W334">
        <v>172.2</v>
      </c>
      <c r="X334">
        <v>164</v>
      </c>
      <c r="Y334">
        <v>174</v>
      </c>
      <c r="Z334">
        <v>162.6</v>
      </c>
      <c r="AA334">
        <v>164.4</v>
      </c>
      <c r="AB334">
        <v>166.9</v>
      </c>
      <c r="AC334">
        <v>168.8</v>
      </c>
      <c r="AD334">
        <v>166.8</v>
      </c>
      <c r="AE334">
        <v>170.1</v>
      </c>
      <c r="AF334" s="18">
        <v>63.4</v>
      </c>
      <c r="AG334" s="9">
        <f>(AF334-AF331)/AF331*100</f>
        <v>-43.829184017010725</v>
      </c>
      <c r="AH334" s="9">
        <f>(Q334-Q331)/Q331*100</f>
        <v>1.425178147268412</v>
      </c>
      <c r="AI334" s="9">
        <f>(U334-U331)/U331*100</f>
        <v>0.9935710111046272</v>
      </c>
      <c r="AJ334" s="9">
        <f>(V334-V331)/V331*100</f>
        <v>1.0284331518451231</v>
      </c>
      <c r="AK334" s="9">
        <f>(W334-W331)/W331*100</f>
        <v>2.9904306220095696</v>
      </c>
      <c r="AL334" s="9">
        <f>(X334-X331)/X331*100</f>
        <v>0.7371007371007301</v>
      </c>
      <c r="AM334" s="9">
        <f>(Y334-Y331)/Y331*100</f>
        <v>0.57803468208092479</v>
      </c>
      <c r="AN334" s="9">
        <f>(Z334-Z331)/Z331*100</f>
        <v>2.9765674477517345</v>
      </c>
      <c r="AO334" s="9">
        <f>(AB334-AB331)/AB331*100</f>
        <v>0.54216867469879859</v>
      </c>
      <c r="AP334" s="9">
        <f>(AC334-AC331)/AC331*100</f>
        <v>0.95693779904307585</v>
      </c>
      <c r="AQ334" s="9">
        <f>(AE334-AE331)/AE331*100</f>
        <v>1.4311270125223647</v>
      </c>
      <c r="AS334" s="7" t="s">
        <v>88</v>
      </c>
      <c r="AT334" s="9">
        <v>0.50611290701635758</v>
      </c>
    </row>
    <row r="335" spans="1:46" hidden="1"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c r="Q335">
        <v>170.8</v>
      </c>
      <c r="R335">
        <v>192.9</v>
      </c>
      <c r="S335">
        <v>179.3</v>
      </c>
      <c r="T335">
        <v>177.2</v>
      </c>
      <c r="U335">
        <v>179</v>
      </c>
      <c r="V335" t="s">
        <v>32</v>
      </c>
      <c r="W335">
        <v>175.3</v>
      </c>
      <c r="X335">
        <v>168.9</v>
      </c>
      <c r="Y335">
        <v>177.7</v>
      </c>
      <c r="Z335">
        <v>167.1</v>
      </c>
      <c r="AA335">
        <v>167.6</v>
      </c>
      <c r="AB335">
        <v>171.8</v>
      </c>
      <c r="AC335">
        <v>168.5</v>
      </c>
      <c r="AD335">
        <v>170.9</v>
      </c>
      <c r="AE335">
        <v>172.5</v>
      </c>
    </row>
    <row r="336" spans="1:46" hidden="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row>
    <row r="337" spans="1:43" x14ac:dyDescent="0.3">
      <c r="A337" t="s">
        <v>34</v>
      </c>
      <c r="B337">
        <v>2022</v>
      </c>
      <c r="C337" s="19" t="s">
        <v>38</v>
      </c>
      <c r="D337">
        <v>154.1</v>
      </c>
      <c r="E337">
        <v>217</v>
      </c>
      <c r="F337">
        <v>162.4</v>
      </c>
      <c r="G337">
        <v>164.9</v>
      </c>
      <c r="H337">
        <v>202.4</v>
      </c>
      <c r="I337">
        <v>171</v>
      </c>
      <c r="J337">
        <v>174.9</v>
      </c>
      <c r="K337">
        <v>164.7</v>
      </c>
      <c r="L337">
        <v>119.7</v>
      </c>
      <c r="M337">
        <v>184.9</v>
      </c>
      <c r="N337">
        <v>167.1</v>
      </c>
      <c r="O337">
        <v>182.5</v>
      </c>
      <c r="P337" s="19" t="str">
        <f>_xlfn.CONCAT(C337, " ",B337)</f>
        <v>May 2022</v>
      </c>
      <c r="Q337">
        <v>173.3</v>
      </c>
      <c r="R337">
        <v>194.1</v>
      </c>
      <c r="S337">
        <v>175.6</v>
      </c>
      <c r="T337">
        <v>168.4</v>
      </c>
      <c r="U337">
        <v>174.6</v>
      </c>
      <c r="V337">
        <v>167.5</v>
      </c>
      <c r="W337">
        <v>174.6</v>
      </c>
      <c r="X337">
        <v>165.2</v>
      </c>
      <c r="Y337">
        <v>174.8</v>
      </c>
      <c r="Z337">
        <v>163</v>
      </c>
      <c r="AA337">
        <v>165.1</v>
      </c>
      <c r="AB337">
        <v>167.9</v>
      </c>
      <c r="AC337">
        <v>168.4</v>
      </c>
      <c r="AD337">
        <v>167.5</v>
      </c>
      <c r="AE337">
        <v>171.7</v>
      </c>
      <c r="AF337" s="17">
        <v>66.95</v>
      </c>
      <c r="AG337" s="9">
        <f>(AF337-AF334)/AF334*100</f>
        <v>5.5993690851735085</v>
      </c>
      <c r="AH337" s="9">
        <f>(Q337-Q334)/Q334*100</f>
        <v>1.4637002341920373</v>
      </c>
      <c r="AI337" s="9">
        <f>(U337-U334)/U334*100</f>
        <v>1.0416666666666567</v>
      </c>
      <c r="AJ337" s="9">
        <f>(V337-V334)/V334*100</f>
        <v>0.29940119760479045</v>
      </c>
      <c r="AK337" s="9">
        <f>(W337-W334)/W334*100</f>
        <v>1.3937282229965191</v>
      </c>
      <c r="AL337" s="9">
        <f>(X337-X334)/X334*100</f>
        <v>0.73170731707316383</v>
      </c>
      <c r="AM337" s="9">
        <f>(Y337-Y334)/Y334*100</f>
        <v>0.45977011494253522</v>
      </c>
      <c r="AN337" s="9">
        <f>(Z337-Z334)/Z334*100</f>
        <v>0.24600246002460377</v>
      </c>
      <c r="AO337" s="9">
        <f>(AB337-AB334)/AB334*100</f>
        <v>0.59916117435590177</v>
      </c>
      <c r="AP337" s="9">
        <f>(AC337-AC334)/AC334*100</f>
        <v>-0.23696682464455313</v>
      </c>
      <c r="AQ337" s="9">
        <f>(AE337-AE334)/AE334*100</f>
        <v>0.94062316284538183</v>
      </c>
    </row>
    <row r="338" spans="1:43" hidden="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c r="Q338">
        <v>172.4</v>
      </c>
      <c r="R338">
        <v>192.9</v>
      </c>
      <c r="S338">
        <v>180.7</v>
      </c>
      <c r="T338">
        <v>178.7</v>
      </c>
      <c r="U338">
        <v>180.4</v>
      </c>
      <c r="V338" t="s">
        <v>32</v>
      </c>
      <c r="W338">
        <v>176.7</v>
      </c>
      <c r="X338">
        <v>170.3</v>
      </c>
      <c r="Y338">
        <v>178.2</v>
      </c>
      <c r="Z338">
        <v>165.5</v>
      </c>
      <c r="AA338">
        <v>168</v>
      </c>
      <c r="AB338">
        <v>172.6</v>
      </c>
      <c r="AC338">
        <v>169.5</v>
      </c>
      <c r="AD338">
        <v>171</v>
      </c>
      <c r="AE338">
        <v>173.6</v>
      </c>
    </row>
    <row r="339" spans="1:43" hidden="1"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row>
    <row r="340" spans="1:43" x14ac:dyDescent="0.3">
      <c r="A340" t="s">
        <v>34</v>
      </c>
      <c r="B340">
        <v>2022</v>
      </c>
      <c r="C340" s="19" t="s">
        <v>39</v>
      </c>
      <c r="D340">
        <v>155</v>
      </c>
      <c r="E340">
        <v>219.4</v>
      </c>
      <c r="F340">
        <v>170.8</v>
      </c>
      <c r="G340">
        <v>165.8</v>
      </c>
      <c r="H340">
        <v>200.9</v>
      </c>
      <c r="I340">
        <v>169.7</v>
      </c>
      <c r="J340">
        <v>182.3</v>
      </c>
      <c r="K340">
        <v>164.3</v>
      </c>
      <c r="L340">
        <v>119.9</v>
      </c>
      <c r="M340">
        <v>187.1</v>
      </c>
      <c r="N340">
        <v>167.9</v>
      </c>
      <c r="O340">
        <v>183.9</v>
      </c>
      <c r="P340" s="19" t="str">
        <f>_xlfn.CONCAT(C340, " ",B340)</f>
        <v>June 2022</v>
      </c>
      <c r="Q340">
        <v>174.9</v>
      </c>
      <c r="R340">
        <v>194.3</v>
      </c>
      <c r="S340">
        <v>177.1</v>
      </c>
      <c r="T340">
        <v>169.9</v>
      </c>
      <c r="U340">
        <v>176</v>
      </c>
      <c r="V340">
        <v>166.8</v>
      </c>
      <c r="W340">
        <v>176</v>
      </c>
      <c r="X340">
        <v>166.4</v>
      </c>
      <c r="Y340">
        <v>175.4</v>
      </c>
      <c r="Z340">
        <v>161.1</v>
      </c>
      <c r="AA340">
        <v>165.8</v>
      </c>
      <c r="AB340">
        <v>169</v>
      </c>
      <c r="AC340">
        <v>169.4</v>
      </c>
      <c r="AD340">
        <v>167.5</v>
      </c>
      <c r="AE340">
        <v>172.6</v>
      </c>
      <c r="AF340" s="18">
        <v>71.98</v>
      </c>
      <c r="AG340" s="9">
        <f>(AF340-AF337)/AF337*100</f>
        <v>7.5130694548170283</v>
      </c>
      <c r="AH340" s="9">
        <f>(Q340-Q337)/Q337*100</f>
        <v>0.92325447201384547</v>
      </c>
      <c r="AI340" s="9">
        <f>(U340-U337)/U337*100</f>
        <v>0.80183276059565045</v>
      </c>
      <c r="AJ340" s="9">
        <f>(V340-V337)/V337*100</f>
        <v>-0.41791044776118724</v>
      </c>
      <c r="AK340" s="9">
        <f>(W340-W337)/W337*100</f>
        <v>0.80183276059565045</v>
      </c>
      <c r="AL340" s="9">
        <f>(X340-X337)/X337*100</f>
        <v>0.72639225181599099</v>
      </c>
      <c r="AM340" s="9">
        <f>(Y340-Y337)/Y337*100</f>
        <v>0.34324942791761687</v>
      </c>
      <c r="AN340" s="9">
        <f>(Z340-Z337)/Z337*100</f>
        <v>-1.1656441717791446</v>
      </c>
      <c r="AO340" s="9">
        <f>(AB340-AB337)/AB337*100</f>
        <v>0.65515187611673276</v>
      </c>
      <c r="AP340" s="9">
        <f>(AC340-AC337)/AC337*100</f>
        <v>0.59382422802850354</v>
      </c>
      <c r="AQ340" s="9">
        <f>(AE340-AE337)/AE337*100</f>
        <v>0.52417006406523348</v>
      </c>
    </row>
    <row r="341" spans="1:43" hidden="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c r="Q341">
        <v>172.5</v>
      </c>
      <c r="R341">
        <v>193.2</v>
      </c>
      <c r="S341">
        <v>182</v>
      </c>
      <c r="T341">
        <v>180.3</v>
      </c>
      <c r="U341">
        <v>181.7</v>
      </c>
      <c r="V341" t="s">
        <v>32</v>
      </c>
      <c r="W341">
        <v>179.6</v>
      </c>
      <c r="X341">
        <v>171.3</v>
      </c>
      <c r="Y341">
        <v>178.8</v>
      </c>
      <c r="Z341">
        <v>166.3</v>
      </c>
      <c r="AA341">
        <v>168.6</v>
      </c>
      <c r="AB341">
        <v>174.7</v>
      </c>
      <c r="AC341">
        <v>169.7</v>
      </c>
      <c r="AD341">
        <v>171.8</v>
      </c>
      <c r="AE341">
        <v>174.3</v>
      </c>
    </row>
    <row r="342" spans="1:43" hidden="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c r="Q342">
        <v>179.4</v>
      </c>
      <c r="R342">
        <v>198.6</v>
      </c>
      <c r="S342">
        <v>172.7</v>
      </c>
      <c r="T342">
        <v>158.69999999999999</v>
      </c>
      <c r="U342">
        <v>170.6</v>
      </c>
      <c r="V342">
        <v>167.8</v>
      </c>
      <c r="W342">
        <v>179.5</v>
      </c>
      <c r="X342">
        <v>163.1</v>
      </c>
      <c r="Y342">
        <v>171.7</v>
      </c>
      <c r="Z342">
        <v>157.4</v>
      </c>
      <c r="AA342">
        <v>164.6</v>
      </c>
      <c r="AB342">
        <v>169.1</v>
      </c>
      <c r="AC342">
        <v>169.8</v>
      </c>
      <c r="AD342">
        <v>164.7</v>
      </c>
      <c r="AE342">
        <v>172.3</v>
      </c>
    </row>
    <row r="343" spans="1:43" x14ac:dyDescent="0.3">
      <c r="A343" t="s">
        <v>34</v>
      </c>
      <c r="B343">
        <v>2022</v>
      </c>
      <c r="C343" s="19" t="s">
        <v>40</v>
      </c>
      <c r="D343">
        <v>156.5</v>
      </c>
      <c r="E343">
        <v>213</v>
      </c>
      <c r="F343">
        <v>175.2</v>
      </c>
      <c r="G343">
        <v>166.6</v>
      </c>
      <c r="H343">
        <v>195.8</v>
      </c>
      <c r="I343">
        <v>174.2</v>
      </c>
      <c r="J343">
        <v>182.1</v>
      </c>
      <c r="K343">
        <v>164.3</v>
      </c>
      <c r="L343">
        <v>120</v>
      </c>
      <c r="M343">
        <v>190</v>
      </c>
      <c r="N343">
        <v>168.4</v>
      </c>
      <c r="O343">
        <v>185.2</v>
      </c>
      <c r="P343" s="19" t="str">
        <f>_xlfn.CONCAT(C343, " ",B343)</f>
        <v>July 2022</v>
      </c>
      <c r="Q343">
        <v>175</v>
      </c>
      <c r="R343">
        <v>194.6</v>
      </c>
      <c r="S343">
        <v>178.3</v>
      </c>
      <c r="T343">
        <v>171.3</v>
      </c>
      <c r="U343">
        <v>177.3</v>
      </c>
      <c r="V343">
        <v>167.8</v>
      </c>
      <c r="W343">
        <v>179.6</v>
      </c>
      <c r="X343">
        <v>167.4</v>
      </c>
      <c r="Y343">
        <v>176.1</v>
      </c>
      <c r="Z343">
        <v>161.6</v>
      </c>
      <c r="AA343">
        <v>166.3</v>
      </c>
      <c r="AB343">
        <v>171.4</v>
      </c>
      <c r="AC343">
        <v>169.7</v>
      </c>
      <c r="AD343">
        <v>168.4</v>
      </c>
      <c r="AE343">
        <v>173.4</v>
      </c>
      <c r="AF343" s="18">
        <v>73.540000000000006</v>
      </c>
      <c r="AG343" s="9">
        <f>(AF343-AF340)/AF340*100</f>
        <v>2.1672686857460435</v>
      </c>
      <c r="AH343" s="9">
        <f>(Q343-Q340)/Q340*100</f>
        <v>5.7175528873638831E-2</v>
      </c>
      <c r="AI343" s="9">
        <f>(U343-U340)/U340*100</f>
        <v>0.73863636363637009</v>
      </c>
      <c r="AJ343" s="9">
        <f>(V343-V340)/V340*100</f>
        <v>0.59952038369304561</v>
      </c>
      <c r="AK343" s="9">
        <f>(W343-W340)/W340*100</f>
        <v>2.0454545454545423</v>
      </c>
      <c r="AL343" s="9">
        <f>(X343-X340)/X340*100</f>
        <v>0.60096153846153844</v>
      </c>
      <c r="AM343" s="9">
        <f>(Y343-Y340)/Y340*100</f>
        <v>0.39908779931584298</v>
      </c>
      <c r="AN343" s="9">
        <f>(Z343-Z340)/Z340*100</f>
        <v>0.31036623215394166</v>
      </c>
      <c r="AO343" s="9">
        <f>(AB343-AB340)/AB340*100</f>
        <v>1.4201183431952698</v>
      </c>
      <c r="AP343" s="9">
        <f>(AC343-AC340)/AC340*100</f>
        <v>0.17709563164107611</v>
      </c>
      <c r="AQ343" s="9">
        <f>(AE343-AE340)/AE340*100</f>
        <v>0.4634994206257308</v>
      </c>
    </row>
    <row r="344" spans="1:43" hidden="1"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c r="Q344">
        <v>173.9</v>
      </c>
      <c r="R344">
        <v>193.7</v>
      </c>
      <c r="S344">
        <v>183.2</v>
      </c>
      <c r="T344">
        <v>181.7</v>
      </c>
      <c r="U344">
        <v>183</v>
      </c>
      <c r="V344" t="s">
        <v>32</v>
      </c>
      <c r="W344">
        <v>179.1</v>
      </c>
      <c r="X344">
        <v>172.3</v>
      </c>
      <c r="Y344">
        <v>179.4</v>
      </c>
      <c r="Z344">
        <v>166.6</v>
      </c>
      <c r="AA344">
        <v>169.3</v>
      </c>
      <c r="AB344">
        <v>175.7</v>
      </c>
      <c r="AC344">
        <v>171.1</v>
      </c>
      <c r="AD344">
        <v>172.6</v>
      </c>
      <c r="AE344">
        <v>175.3</v>
      </c>
    </row>
    <row r="345" spans="1:43" hidden="1"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c r="Q345">
        <v>180.4</v>
      </c>
      <c r="R345">
        <v>198.7</v>
      </c>
      <c r="S345">
        <v>173.7</v>
      </c>
      <c r="T345">
        <v>160</v>
      </c>
      <c r="U345">
        <v>171.6</v>
      </c>
      <c r="V345">
        <v>169</v>
      </c>
      <c r="W345">
        <v>178.4</v>
      </c>
      <c r="X345">
        <v>164.2</v>
      </c>
      <c r="Y345">
        <v>172.6</v>
      </c>
      <c r="Z345">
        <v>157.69999999999999</v>
      </c>
      <c r="AA345">
        <v>165.1</v>
      </c>
      <c r="AB345">
        <v>169.9</v>
      </c>
      <c r="AC345">
        <v>171.4</v>
      </c>
      <c r="AD345">
        <v>165.4</v>
      </c>
      <c r="AE345">
        <v>173.1</v>
      </c>
    </row>
    <row r="346" spans="1:43" x14ac:dyDescent="0.3">
      <c r="A346" t="s">
        <v>34</v>
      </c>
      <c r="B346">
        <v>2022</v>
      </c>
      <c r="C346" s="19" t="s">
        <v>41</v>
      </c>
      <c r="D346">
        <v>160.30000000000001</v>
      </c>
      <c r="E346">
        <v>206.5</v>
      </c>
      <c r="F346">
        <v>169.2</v>
      </c>
      <c r="G346">
        <v>168.1</v>
      </c>
      <c r="H346">
        <v>192.4</v>
      </c>
      <c r="I346">
        <v>172.9</v>
      </c>
      <c r="J346">
        <v>186.7</v>
      </c>
      <c r="K346">
        <v>167.2</v>
      </c>
      <c r="L346">
        <v>120.9</v>
      </c>
      <c r="M346">
        <v>193.6</v>
      </c>
      <c r="N346">
        <v>168.8</v>
      </c>
      <c r="O346">
        <v>186.3</v>
      </c>
      <c r="P346" s="19" t="str">
        <f>_xlfn.CONCAT(C346, " ",B346)</f>
        <v>August 2022</v>
      </c>
      <c r="Q346">
        <v>176.3</v>
      </c>
      <c r="R346">
        <v>195</v>
      </c>
      <c r="S346">
        <v>179.5</v>
      </c>
      <c r="T346">
        <v>172.7</v>
      </c>
      <c r="U346">
        <v>178.5</v>
      </c>
      <c r="V346">
        <v>169</v>
      </c>
      <c r="W346">
        <v>178.8</v>
      </c>
      <c r="X346">
        <v>168.5</v>
      </c>
      <c r="Y346">
        <v>176.8</v>
      </c>
      <c r="Z346">
        <v>161.9</v>
      </c>
      <c r="AA346">
        <v>166.9</v>
      </c>
      <c r="AB346">
        <v>172.3</v>
      </c>
      <c r="AC346">
        <v>171.2</v>
      </c>
      <c r="AD346">
        <v>169.1</v>
      </c>
      <c r="AE346">
        <v>174.3</v>
      </c>
      <c r="AF346" s="17">
        <v>69.8</v>
      </c>
      <c r="AG346" s="9">
        <f>(AF346-AF343)/AF343*100</f>
        <v>-5.085667663856416</v>
      </c>
      <c r="AH346" s="9">
        <f>(Q346-Q343)/Q343*100</f>
        <v>0.74285714285714932</v>
      </c>
      <c r="AI346" s="9">
        <f>(U346-U343)/U343*100</f>
        <v>0.67681895093061961</v>
      </c>
      <c r="AJ346" s="9">
        <f>(V346-V343)/V343*100</f>
        <v>0.71513706793801468</v>
      </c>
      <c r="AK346" s="9">
        <f>(W346-W343)/W343*100</f>
        <v>-0.44543429844097049</v>
      </c>
      <c r="AL346" s="9">
        <f>(X346-X343)/X343*100</f>
        <v>0.65710872162484724</v>
      </c>
      <c r="AM346" s="9">
        <f>(Y346-Y343)/Y343*100</f>
        <v>0.397501419647937</v>
      </c>
      <c r="AN346" s="9">
        <f>(Z346-Z343)/Z343*100</f>
        <v>0.18564356435644269</v>
      </c>
      <c r="AO346" s="9">
        <f>(AB346-AB343)/AB343*100</f>
        <v>0.52508751458576763</v>
      </c>
      <c r="AP346" s="9">
        <f>(AC346-AC343)/AC343*100</f>
        <v>0.8839127872716559</v>
      </c>
      <c r="AQ346" s="9">
        <f>(AE346-AE343)/AE343*100</f>
        <v>0.5190311418685154</v>
      </c>
    </row>
    <row r="347" spans="1:43" hidden="1"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c r="Q347">
        <v>175.5</v>
      </c>
      <c r="R347">
        <v>194.5</v>
      </c>
      <c r="S347">
        <v>184.7</v>
      </c>
      <c r="T347">
        <v>183.3</v>
      </c>
      <c r="U347">
        <v>184.5</v>
      </c>
      <c r="V347" t="s">
        <v>32</v>
      </c>
      <c r="W347">
        <v>179.7</v>
      </c>
      <c r="X347">
        <v>173.6</v>
      </c>
      <c r="Y347">
        <v>180.2</v>
      </c>
      <c r="Z347">
        <v>166.9</v>
      </c>
      <c r="AA347">
        <v>170</v>
      </c>
      <c r="AB347">
        <v>176.2</v>
      </c>
      <c r="AC347">
        <v>170.8</v>
      </c>
      <c r="AD347">
        <v>173.1</v>
      </c>
      <c r="AE347">
        <v>176.4</v>
      </c>
    </row>
    <row r="348" spans="1:43" hidden="1"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row>
    <row r="349" spans="1:43" x14ac:dyDescent="0.3">
      <c r="A349" t="s">
        <v>34</v>
      </c>
      <c r="B349">
        <v>2022</v>
      </c>
      <c r="C349" s="19" t="s">
        <v>42</v>
      </c>
      <c r="D349">
        <v>163.5</v>
      </c>
      <c r="E349">
        <v>209.2</v>
      </c>
      <c r="F349">
        <v>169.7</v>
      </c>
      <c r="G349">
        <v>169.7</v>
      </c>
      <c r="H349">
        <v>188.7</v>
      </c>
      <c r="I349">
        <v>165.7</v>
      </c>
      <c r="J349">
        <v>191.8</v>
      </c>
      <c r="K349">
        <v>169.1</v>
      </c>
      <c r="L349">
        <v>121.6</v>
      </c>
      <c r="M349">
        <v>197.3</v>
      </c>
      <c r="N349">
        <v>169.4</v>
      </c>
      <c r="O349">
        <v>187.4</v>
      </c>
      <c r="P349" s="19" t="str">
        <f>_xlfn.CONCAT(C349, " ",B349)</f>
        <v>September 2022</v>
      </c>
      <c r="Q349">
        <v>177.8</v>
      </c>
      <c r="R349">
        <v>195.9</v>
      </c>
      <c r="S349">
        <v>180.9</v>
      </c>
      <c r="T349">
        <v>174.3</v>
      </c>
      <c r="U349">
        <v>179.9</v>
      </c>
      <c r="V349">
        <v>169.5</v>
      </c>
      <c r="W349">
        <v>179.5</v>
      </c>
      <c r="X349">
        <v>169.5</v>
      </c>
      <c r="Y349">
        <v>177.8</v>
      </c>
      <c r="Z349">
        <v>162.30000000000001</v>
      </c>
      <c r="AA349">
        <v>167.6</v>
      </c>
      <c r="AB349">
        <v>173.1</v>
      </c>
      <c r="AC349">
        <v>170.9</v>
      </c>
      <c r="AD349">
        <v>169.7</v>
      </c>
      <c r="AE349">
        <v>175.3</v>
      </c>
      <c r="AF349" s="18">
        <v>73.13</v>
      </c>
      <c r="AG349" s="9">
        <f>(AF349-AF346)/AF346*100</f>
        <v>4.7707736389684792</v>
      </c>
      <c r="AH349" s="9">
        <f>(Q349-Q346)/Q346*100</f>
        <v>0.85082246171298925</v>
      </c>
      <c r="AI349" s="9">
        <f>(U349-U346)/U346*100</f>
        <v>0.78431372549019918</v>
      </c>
      <c r="AJ349" s="9">
        <f>(V349-V346)/V346*100</f>
        <v>0.29585798816568049</v>
      </c>
      <c r="AK349" s="9">
        <f>(W349-W346)/W346*100</f>
        <v>0.39149888143176093</v>
      </c>
      <c r="AL349" s="9">
        <f>(X349-X346)/X346*100</f>
        <v>0.59347181008902083</v>
      </c>
      <c r="AM349" s="9">
        <f>(Y349-Y346)/Y346*100</f>
        <v>0.56561085972850678</v>
      </c>
      <c r="AN349" s="9">
        <f>(Z349-Z346)/Z346*100</f>
        <v>0.2470660901791264</v>
      </c>
      <c r="AO349" s="9">
        <f>(AB349-AB346)/AB346*100</f>
        <v>0.46430644225187634</v>
      </c>
      <c r="AP349" s="9">
        <f>(AC349-AC346)/AC346*100</f>
        <v>-0.17523364485980314</v>
      </c>
      <c r="AQ349" s="9">
        <f>(AE349-AE346)/AE346*100</f>
        <v>0.57372346528973028</v>
      </c>
    </row>
    <row r="350" spans="1:43" hidden="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c r="Q350">
        <v>177.4</v>
      </c>
      <c r="R350">
        <v>194.9</v>
      </c>
      <c r="S350">
        <v>186.1</v>
      </c>
      <c r="T350">
        <v>184.4</v>
      </c>
      <c r="U350">
        <v>185.9</v>
      </c>
      <c r="V350" t="s">
        <v>32</v>
      </c>
      <c r="W350">
        <v>180.8</v>
      </c>
      <c r="X350">
        <v>174.4</v>
      </c>
      <c r="Y350">
        <v>181.2</v>
      </c>
      <c r="Z350">
        <v>167.4</v>
      </c>
      <c r="AA350">
        <v>170.6</v>
      </c>
      <c r="AB350">
        <v>176.5</v>
      </c>
      <c r="AC350">
        <v>172</v>
      </c>
      <c r="AD350">
        <v>173.9</v>
      </c>
      <c r="AE350">
        <v>177.9</v>
      </c>
    </row>
    <row r="351" spans="1:43" hidden="1"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c r="Q351">
        <v>183.3</v>
      </c>
      <c r="R351">
        <v>200.1</v>
      </c>
      <c r="S351">
        <v>175.5</v>
      </c>
      <c r="T351">
        <v>162.6</v>
      </c>
      <c r="U351">
        <v>173.6</v>
      </c>
      <c r="V351">
        <v>171.2</v>
      </c>
      <c r="W351">
        <v>180</v>
      </c>
      <c r="X351">
        <v>166</v>
      </c>
      <c r="Y351">
        <v>174.7</v>
      </c>
      <c r="Z351">
        <v>158.80000000000001</v>
      </c>
      <c r="AA351">
        <v>166.3</v>
      </c>
      <c r="AB351">
        <v>171.2</v>
      </c>
      <c r="AC351">
        <v>172.3</v>
      </c>
      <c r="AD351">
        <v>166.8</v>
      </c>
      <c r="AE351">
        <v>175.3</v>
      </c>
    </row>
    <row r="352" spans="1:43" x14ac:dyDescent="0.3">
      <c r="A352" t="s">
        <v>34</v>
      </c>
      <c r="B352">
        <v>2022</v>
      </c>
      <c r="C352" s="19" t="s">
        <v>43</v>
      </c>
      <c r="D352">
        <v>165.2</v>
      </c>
      <c r="E352">
        <v>210.9</v>
      </c>
      <c r="F352">
        <v>170.9</v>
      </c>
      <c r="G352">
        <v>170.9</v>
      </c>
      <c r="H352">
        <v>186.5</v>
      </c>
      <c r="I352">
        <v>163.80000000000001</v>
      </c>
      <c r="J352">
        <v>199.7</v>
      </c>
      <c r="K352">
        <v>169.8</v>
      </c>
      <c r="L352">
        <v>121.9</v>
      </c>
      <c r="M352">
        <v>199.9</v>
      </c>
      <c r="N352">
        <v>169.9</v>
      </c>
      <c r="O352">
        <v>188.3</v>
      </c>
      <c r="P352" s="19" t="str">
        <f>_xlfn.CONCAT(C352, " ",B352)</f>
        <v>October 2022</v>
      </c>
      <c r="Q352">
        <v>179.6</v>
      </c>
      <c r="R352">
        <v>196.3</v>
      </c>
      <c r="S352">
        <v>181.9</v>
      </c>
      <c r="T352">
        <v>175.3</v>
      </c>
      <c r="U352">
        <v>181</v>
      </c>
      <c r="V352">
        <v>171.2</v>
      </c>
      <c r="W352">
        <v>180.5</v>
      </c>
      <c r="X352">
        <v>170.4</v>
      </c>
      <c r="Y352">
        <v>178.7</v>
      </c>
      <c r="Z352">
        <v>162.9</v>
      </c>
      <c r="AA352">
        <v>168.2</v>
      </c>
      <c r="AB352">
        <v>173.4</v>
      </c>
      <c r="AC352">
        <v>172.1</v>
      </c>
      <c r="AD352">
        <v>170.5</v>
      </c>
      <c r="AE352">
        <v>176.7</v>
      </c>
      <c r="AF352" s="18">
        <v>82.11</v>
      </c>
      <c r="AG352" s="9">
        <f>(AF352-AF349)/AF349*100</f>
        <v>12.27950225625599</v>
      </c>
      <c r="AH352" s="9">
        <f>(Q352-Q349)/Q349*100</f>
        <v>1.0123734533183255</v>
      </c>
      <c r="AI352" s="9">
        <f>(U352-U349)/U349*100</f>
        <v>0.61145080600333201</v>
      </c>
      <c r="AJ352" s="9">
        <f>(V352-V349)/V349*100</f>
        <v>1.0029498525073679</v>
      </c>
      <c r="AK352" s="9">
        <f>(W352-W349)/W349*100</f>
        <v>0.55710306406685239</v>
      </c>
      <c r="AL352" s="9">
        <f>(X352-X349)/X349*100</f>
        <v>0.53097345132743701</v>
      </c>
      <c r="AM352" s="9">
        <f>(Y352-Y349)/Y349*100</f>
        <v>0.50618672665915476</v>
      </c>
      <c r="AN352" s="9">
        <f>(Z352-Z349)/Z349*100</f>
        <v>0.36968576709796319</v>
      </c>
      <c r="AO352" s="9">
        <f>(AB352-AB349)/AB349*100</f>
        <v>0.17331022530329948</v>
      </c>
      <c r="AP352" s="9">
        <f>(AC352-AC349)/AC349*100</f>
        <v>0.7021650087770559</v>
      </c>
      <c r="AQ352" s="9">
        <f>(AE352-AE349)/AE349*100</f>
        <v>0.79863091842554312</v>
      </c>
    </row>
    <row r="353" spans="1:43" hidden="1"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c r="Q353">
        <v>176.6</v>
      </c>
      <c r="R353">
        <v>195.5</v>
      </c>
      <c r="S353">
        <v>187.2</v>
      </c>
      <c r="T353">
        <v>185.2</v>
      </c>
      <c r="U353">
        <v>186.9</v>
      </c>
      <c r="V353" t="s">
        <v>32</v>
      </c>
      <c r="W353">
        <v>181.9</v>
      </c>
      <c r="X353">
        <v>175.5</v>
      </c>
      <c r="Y353">
        <v>182.3</v>
      </c>
      <c r="Z353">
        <v>167.5</v>
      </c>
      <c r="AA353">
        <v>170.8</v>
      </c>
      <c r="AB353">
        <v>176.9</v>
      </c>
      <c r="AC353">
        <v>173.4</v>
      </c>
      <c r="AD353">
        <v>174.6</v>
      </c>
      <c r="AE353">
        <v>177.8</v>
      </c>
    </row>
    <row r="354" spans="1:43" hidden="1"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c r="Q354">
        <v>181.3</v>
      </c>
      <c r="R354">
        <v>200.6</v>
      </c>
      <c r="S354">
        <v>176.7</v>
      </c>
      <c r="T354">
        <v>163.5</v>
      </c>
      <c r="U354">
        <v>174.7</v>
      </c>
      <c r="V354">
        <v>171.8</v>
      </c>
      <c r="W354">
        <v>180.3</v>
      </c>
      <c r="X354">
        <v>166.9</v>
      </c>
      <c r="Y354">
        <v>175.8</v>
      </c>
      <c r="Z354">
        <v>158.9</v>
      </c>
      <c r="AA354">
        <v>166.7</v>
      </c>
      <c r="AB354">
        <v>171.5</v>
      </c>
      <c r="AC354">
        <v>173.8</v>
      </c>
      <c r="AD354">
        <v>167.4</v>
      </c>
      <c r="AE354">
        <v>174.1</v>
      </c>
    </row>
    <row r="355" spans="1:43" x14ac:dyDescent="0.3">
      <c r="A355" t="s">
        <v>34</v>
      </c>
      <c r="B355">
        <v>2022</v>
      </c>
      <c r="C355" s="19" t="s">
        <v>45</v>
      </c>
      <c r="D355">
        <v>167.4</v>
      </c>
      <c r="E355">
        <v>209.4</v>
      </c>
      <c r="F355">
        <v>181.4</v>
      </c>
      <c r="G355">
        <v>172.3</v>
      </c>
      <c r="H355">
        <v>188.9</v>
      </c>
      <c r="I355">
        <v>160.69999999999999</v>
      </c>
      <c r="J355">
        <v>183.1</v>
      </c>
      <c r="K355">
        <v>170.5</v>
      </c>
      <c r="L355">
        <v>122.1</v>
      </c>
      <c r="M355">
        <v>202.8</v>
      </c>
      <c r="N355">
        <v>170.4</v>
      </c>
      <c r="O355">
        <v>189.5</v>
      </c>
      <c r="P355" s="19" t="str">
        <f>_xlfn.CONCAT(C355, " ",B355)</f>
        <v>November 2022</v>
      </c>
      <c r="Q355">
        <v>178.3</v>
      </c>
      <c r="R355">
        <v>196.9</v>
      </c>
      <c r="S355">
        <v>183.1</v>
      </c>
      <c r="T355">
        <v>176.2</v>
      </c>
      <c r="U355">
        <v>182.1</v>
      </c>
      <c r="V355">
        <v>171.8</v>
      </c>
      <c r="W355">
        <v>181.3</v>
      </c>
      <c r="X355">
        <v>171.4</v>
      </c>
      <c r="Y355">
        <v>179.8</v>
      </c>
      <c r="Z355">
        <v>163</v>
      </c>
      <c r="AA355">
        <v>168.5</v>
      </c>
      <c r="AB355">
        <v>173.7</v>
      </c>
      <c r="AC355">
        <v>173.6</v>
      </c>
      <c r="AD355">
        <v>171.1</v>
      </c>
      <c r="AE355">
        <v>176.5</v>
      </c>
      <c r="AF355" s="18">
        <v>80.64</v>
      </c>
      <c r="AG355" s="9">
        <f>(AF355-AF352)/AF352*100</f>
        <v>-1.7902813299232723</v>
      </c>
      <c r="AH355" s="9">
        <f>(Q355-Q352)/Q352*100</f>
        <v>-0.7238307349665829</v>
      </c>
      <c r="AI355" s="9">
        <f>(U355-U352)/U352*100</f>
        <v>0.60773480662983115</v>
      </c>
      <c r="AJ355" s="9">
        <f>(V355-V352)/V352*100</f>
        <v>0.35046728971963947</v>
      </c>
      <c r="AK355" s="9">
        <f>(W355-W352)/W352*100</f>
        <v>0.44321329639889823</v>
      </c>
      <c r="AL355" s="9">
        <f>(X355-X352)/X352*100</f>
        <v>0.58685446009389663</v>
      </c>
      <c r="AM355" s="9">
        <f>(Y355-Y352)/Y352*100</f>
        <v>0.61555679910465744</v>
      </c>
      <c r="AN355" s="9">
        <f>(Z355-Z352)/Z352*100</f>
        <v>6.1387354205030269E-2</v>
      </c>
      <c r="AO355" s="9">
        <f>(AB355-AB352)/AB352*100</f>
        <v>0.17301038062282753</v>
      </c>
      <c r="AP355" s="9">
        <f>(AC355-AC352)/AC352*100</f>
        <v>0.87158628704241714</v>
      </c>
      <c r="AQ355" s="9">
        <f>(AE355-AE352)/AE352*100</f>
        <v>-0.11318619128465683</v>
      </c>
    </row>
    <row r="356" spans="1:43" hidden="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c r="Q356">
        <v>174.4</v>
      </c>
      <c r="R356">
        <v>195.9</v>
      </c>
      <c r="S356">
        <v>188.1</v>
      </c>
      <c r="T356">
        <v>185.9</v>
      </c>
      <c r="U356">
        <v>187.8</v>
      </c>
      <c r="V356" t="s">
        <v>32</v>
      </c>
      <c r="W356">
        <v>182.8</v>
      </c>
      <c r="X356">
        <v>176.4</v>
      </c>
      <c r="Y356">
        <v>183.5</v>
      </c>
      <c r="Z356">
        <v>167.8</v>
      </c>
      <c r="AA356">
        <v>171.2</v>
      </c>
      <c r="AB356">
        <v>177.3</v>
      </c>
      <c r="AC356">
        <v>175.7</v>
      </c>
      <c r="AD356">
        <v>175.5</v>
      </c>
      <c r="AE356">
        <v>177.1</v>
      </c>
    </row>
    <row r="357" spans="1:43" hidden="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c r="Q357">
        <v>178.6</v>
      </c>
      <c r="R357">
        <v>201.1</v>
      </c>
      <c r="S357">
        <v>177.7</v>
      </c>
      <c r="T357">
        <v>164.5</v>
      </c>
      <c r="U357">
        <v>175.7</v>
      </c>
      <c r="V357">
        <v>170.7</v>
      </c>
      <c r="W357">
        <v>180.6</v>
      </c>
      <c r="X357">
        <v>167.3</v>
      </c>
      <c r="Y357">
        <v>177.2</v>
      </c>
      <c r="Z357">
        <v>159.4</v>
      </c>
      <c r="AA357">
        <v>167.1</v>
      </c>
      <c r="AB357">
        <v>171.8</v>
      </c>
      <c r="AC357">
        <v>176</v>
      </c>
      <c r="AD357">
        <v>168.2</v>
      </c>
      <c r="AE357">
        <v>174.1</v>
      </c>
    </row>
    <row r="358" spans="1:43" x14ac:dyDescent="0.3">
      <c r="A358" t="s">
        <v>34</v>
      </c>
      <c r="B358">
        <v>2022</v>
      </c>
      <c r="C358" s="19" t="s">
        <v>46</v>
      </c>
      <c r="D358">
        <v>169.2</v>
      </c>
      <c r="E358">
        <v>209</v>
      </c>
      <c r="F358">
        <v>190.2</v>
      </c>
      <c r="G358">
        <v>173.6</v>
      </c>
      <c r="H358">
        <v>188.5</v>
      </c>
      <c r="I358">
        <v>158</v>
      </c>
      <c r="J358">
        <v>159.9</v>
      </c>
      <c r="K358">
        <v>170.8</v>
      </c>
      <c r="L358">
        <v>121.8</v>
      </c>
      <c r="M358">
        <v>205.2</v>
      </c>
      <c r="N358">
        <v>171</v>
      </c>
      <c r="O358">
        <v>190.3</v>
      </c>
      <c r="P358" s="19" t="str">
        <f>_xlfn.CONCAT(C358, " ",B358)</f>
        <v>December 2022</v>
      </c>
      <c r="Q358">
        <v>175.9</v>
      </c>
      <c r="R358">
        <v>197.3</v>
      </c>
      <c r="S358">
        <v>184</v>
      </c>
      <c r="T358">
        <v>177</v>
      </c>
      <c r="U358">
        <v>183</v>
      </c>
      <c r="V358">
        <v>170.7</v>
      </c>
      <c r="W358">
        <v>182</v>
      </c>
      <c r="X358">
        <v>172.1</v>
      </c>
      <c r="Y358">
        <v>181.1</v>
      </c>
      <c r="Z358">
        <v>163.4</v>
      </c>
      <c r="AA358">
        <v>168.9</v>
      </c>
      <c r="AB358">
        <v>174.1</v>
      </c>
      <c r="AC358">
        <v>175.8</v>
      </c>
      <c r="AD358">
        <v>172</v>
      </c>
      <c r="AE358">
        <v>175.7</v>
      </c>
      <c r="AF358" s="17">
        <v>73.3</v>
      </c>
      <c r="AG358" s="9">
        <f>(AF358-AF355)/AF355*100</f>
        <v>-9.1021825396825431</v>
      </c>
      <c r="AH358" s="9">
        <f>(Q358-Q355)/Q355*100</f>
        <v>-1.3460459899046582</v>
      </c>
      <c r="AI358" s="9">
        <f>(U358-U355)/U355*100</f>
        <v>0.49423393739703775</v>
      </c>
      <c r="AJ358" s="9">
        <f>(V358-V355)/V355*100</f>
        <v>-0.64027939464494921</v>
      </c>
      <c r="AK358" s="9">
        <f>(W358-W355)/W355*100</f>
        <v>0.38610038610037983</v>
      </c>
      <c r="AL358" s="9">
        <f>(X358-X355)/X355*100</f>
        <v>0.40840140023336563</v>
      </c>
      <c r="AM358" s="9">
        <f>(Y358-Y355)/Y355*100</f>
        <v>0.72302558398219297</v>
      </c>
      <c r="AN358" s="9">
        <f>(Z358-Z355)/Z355*100</f>
        <v>0.24539877300613847</v>
      </c>
      <c r="AO358" s="9">
        <f>(AB358-AB355)/AB355*100</f>
        <v>0.23028209556707294</v>
      </c>
      <c r="AP358" s="9">
        <f>(AC358-AC355)/AC355*100</f>
        <v>1.2672811059907931</v>
      </c>
      <c r="AQ358" s="9">
        <f>(AE358-AE355)/AE355*100</f>
        <v>-0.4532577903682784</v>
      </c>
    </row>
    <row r="359" spans="1:43"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c r="Q359">
        <v>175</v>
      </c>
      <c r="R359">
        <v>196.9</v>
      </c>
      <c r="S359">
        <v>189</v>
      </c>
      <c r="T359">
        <v>186.3</v>
      </c>
      <c r="U359">
        <v>188.6</v>
      </c>
      <c r="V359" t="s">
        <v>32</v>
      </c>
      <c r="W359">
        <v>183.2</v>
      </c>
      <c r="X359">
        <v>177.2</v>
      </c>
      <c r="Y359">
        <v>184.7</v>
      </c>
      <c r="Z359">
        <v>168.2</v>
      </c>
      <c r="AA359">
        <v>171.8</v>
      </c>
      <c r="AB359">
        <v>177.8</v>
      </c>
      <c r="AC359">
        <v>178.4</v>
      </c>
      <c r="AD359">
        <v>176.5</v>
      </c>
      <c r="AE359">
        <v>177.8</v>
      </c>
    </row>
    <row r="360" spans="1:43" hidden="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c r="Q360">
        <v>179.5</v>
      </c>
      <c r="R360">
        <v>201.6</v>
      </c>
      <c r="S360">
        <v>178.7</v>
      </c>
      <c r="T360">
        <v>165.3</v>
      </c>
      <c r="U360">
        <v>176.6</v>
      </c>
      <c r="V360">
        <v>172.1</v>
      </c>
      <c r="W360">
        <v>180.1</v>
      </c>
      <c r="X360">
        <v>168</v>
      </c>
      <c r="Y360">
        <v>178.5</v>
      </c>
      <c r="Z360">
        <v>159.5</v>
      </c>
      <c r="AA360">
        <v>167.8</v>
      </c>
      <c r="AB360">
        <v>171.8</v>
      </c>
      <c r="AC360">
        <v>178.8</v>
      </c>
      <c r="AD360">
        <v>168.9</v>
      </c>
      <c r="AE360">
        <v>174.9</v>
      </c>
    </row>
    <row r="361" spans="1:43" x14ac:dyDescent="0.3">
      <c r="A361" t="s">
        <v>34</v>
      </c>
      <c r="B361">
        <v>2023</v>
      </c>
      <c r="C361" s="19" t="s">
        <v>31</v>
      </c>
      <c r="D361">
        <v>173.8</v>
      </c>
      <c r="E361">
        <v>210.7</v>
      </c>
      <c r="F361">
        <v>194.5</v>
      </c>
      <c r="G361">
        <v>174.6</v>
      </c>
      <c r="H361">
        <v>187.2</v>
      </c>
      <c r="I361">
        <v>158.30000000000001</v>
      </c>
      <c r="J361">
        <v>153.9</v>
      </c>
      <c r="K361">
        <v>170.9</v>
      </c>
      <c r="L361">
        <v>121.1</v>
      </c>
      <c r="M361">
        <v>208.4</v>
      </c>
      <c r="N361">
        <v>171.4</v>
      </c>
      <c r="O361">
        <v>191.2</v>
      </c>
      <c r="P361" s="19" t="str">
        <f>_xlfn.CONCAT(C361, " ",B361)</f>
        <v>January 2023</v>
      </c>
      <c r="Q361">
        <v>176.7</v>
      </c>
      <c r="R361">
        <v>198.2</v>
      </c>
      <c r="S361">
        <v>184.9</v>
      </c>
      <c r="T361">
        <v>177.6</v>
      </c>
      <c r="U361">
        <v>183.8</v>
      </c>
      <c r="V361">
        <v>172.1</v>
      </c>
      <c r="W361">
        <v>182</v>
      </c>
      <c r="X361">
        <v>172.9</v>
      </c>
      <c r="Y361">
        <v>182.3</v>
      </c>
      <c r="Z361">
        <v>163.6</v>
      </c>
      <c r="AA361">
        <v>169.5</v>
      </c>
      <c r="AB361">
        <v>174.3</v>
      </c>
      <c r="AC361">
        <v>178.6</v>
      </c>
      <c r="AD361">
        <v>172.8</v>
      </c>
      <c r="AE361">
        <v>176.5</v>
      </c>
      <c r="AF361" s="17">
        <v>80.92</v>
      </c>
      <c r="AG361" s="9">
        <f>(AF361-AF358)/AF358*100</f>
        <v>10.395634379263308</v>
      </c>
      <c r="AH361" s="9">
        <f>(Q361-Q358)/Q358*100</f>
        <v>0.45480386583284982</v>
      </c>
      <c r="AI361" s="9">
        <f>(U361-U358)/U358*100</f>
        <v>0.43715846994536145</v>
      </c>
      <c r="AJ361" s="9">
        <f>(V361-V358)/V358*100</f>
        <v>0.82015231400117505</v>
      </c>
      <c r="AK361" s="9">
        <f>(W361-W358)/W358*100</f>
        <v>0</v>
      </c>
      <c r="AL361" s="9">
        <f>(X361-X358)/X358*100</f>
        <v>0.46484601975596251</v>
      </c>
      <c r="AM361" s="9">
        <f>(Y361-Y358)/Y358*100</f>
        <v>0.66261733848703319</v>
      </c>
      <c r="AN361" s="9">
        <f>(Z361-Z358)/Z358*100</f>
        <v>0.12239902080782657</v>
      </c>
      <c r="AO361" s="9">
        <f>(AB361-AB358)/AB358*100</f>
        <v>0.11487650775417407</v>
      </c>
      <c r="AP361" s="9">
        <f>(AC361-AC358)/AC358*100</f>
        <v>1.5927189988623338</v>
      </c>
      <c r="AQ361" s="9">
        <f>(AE361-AE358)/AE358*100</f>
        <v>0.45532157085942598</v>
      </c>
    </row>
    <row r="362" spans="1:43" hidden="1"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c r="Q362">
        <v>174.8</v>
      </c>
      <c r="R362">
        <v>198.3</v>
      </c>
      <c r="S362">
        <v>190</v>
      </c>
      <c r="T362">
        <v>187</v>
      </c>
      <c r="U362">
        <v>189.6</v>
      </c>
      <c r="V362" t="s">
        <v>32</v>
      </c>
      <c r="W362">
        <v>181.6</v>
      </c>
      <c r="X362">
        <v>178.6</v>
      </c>
      <c r="Y362">
        <v>186.6</v>
      </c>
      <c r="Z362">
        <v>169</v>
      </c>
      <c r="AA362">
        <v>172.8</v>
      </c>
      <c r="AB362">
        <v>178.5</v>
      </c>
      <c r="AC362">
        <v>180.7</v>
      </c>
      <c r="AD362">
        <v>177.9</v>
      </c>
      <c r="AE362">
        <v>178</v>
      </c>
    </row>
    <row r="363" spans="1:43" hidden="1"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c r="Q363">
        <v>180.7</v>
      </c>
      <c r="R363">
        <v>202.7</v>
      </c>
      <c r="S363">
        <v>180.3</v>
      </c>
      <c r="T363">
        <v>167</v>
      </c>
      <c r="U363">
        <v>178.2</v>
      </c>
      <c r="V363">
        <v>173.5</v>
      </c>
      <c r="W363">
        <v>182.8</v>
      </c>
      <c r="X363">
        <v>169.2</v>
      </c>
      <c r="Y363">
        <v>180.8</v>
      </c>
      <c r="Z363">
        <v>159.80000000000001</v>
      </c>
      <c r="AA363">
        <v>168.4</v>
      </c>
      <c r="AB363">
        <v>172.5</v>
      </c>
      <c r="AC363">
        <v>181.4</v>
      </c>
      <c r="AD363">
        <v>170</v>
      </c>
      <c r="AE363">
        <v>176.3</v>
      </c>
    </row>
    <row r="364" spans="1:43" x14ac:dyDescent="0.3">
      <c r="A364" t="s">
        <v>34</v>
      </c>
      <c r="B364">
        <v>2023</v>
      </c>
      <c r="C364" s="19" t="s">
        <v>35</v>
      </c>
      <c r="D364">
        <v>174.4</v>
      </c>
      <c r="E364">
        <v>207.7</v>
      </c>
      <c r="F364">
        <v>175.2</v>
      </c>
      <c r="G364">
        <v>177.3</v>
      </c>
      <c r="H364">
        <v>179.3</v>
      </c>
      <c r="I364">
        <v>169.5</v>
      </c>
      <c r="J364">
        <v>152.69999999999999</v>
      </c>
      <c r="K364">
        <v>171</v>
      </c>
      <c r="L364">
        <v>120</v>
      </c>
      <c r="M364">
        <v>209.7</v>
      </c>
      <c r="N364">
        <v>172.3</v>
      </c>
      <c r="O364">
        <v>193</v>
      </c>
      <c r="P364" s="19" t="str">
        <f>_xlfn.CONCAT(C364, " ",B364)</f>
        <v>February 2023</v>
      </c>
      <c r="Q364">
        <v>177</v>
      </c>
      <c r="R364">
        <v>199.5</v>
      </c>
      <c r="S364">
        <v>186.2</v>
      </c>
      <c r="T364">
        <v>178.7</v>
      </c>
      <c r="U364">
        <v>185.1</v>
      </c>
      <c r="V364">
        <v>173.5</v>
      </c>
      <c r="W364">
        <v>182.1</v>
      </c>
      <c r="X364">
        <v>174.2</v>
      </c>
      <c r="Y364">
        <v>184.4</v>
      </c>
      <c r="Z364">
        <v>164.2</v>
      </c>
      <c r="AA364">
        <v>170.3</v>
      </c>
      <c r="AB364">
        <v>175</v>
      </c>
      <c r="AC364">
        <v>181</v>
      </c>
      <c r="AD364">
        <v>174.1</v>
      </c>
      <c r="AE364">
        <v>177.2</v>
      </c>
      <c r="AF364" s="18">
        <v>82.28</v>
      </c>
      <c r="AG364" s="9">
        <f>(AF364-AF361)/AF361*100</f>
        <v>1.6806722689075622</v>
      </c>
      <c r="AH364" s="9">
        <f>(Q364-Q361)/Q361*100</f>
        <v>0.16977928692700134</v>
      </c>
      <c r="AI364" s="9">
        <f>(U364-U361)/U361*100</f>
        <v>0.70729053318823876</v>
      </c>
      <c r="AJ364" s="9">
        <f>(V364-V361)/V361*100</f>
        <v>0.81348053457292613</v>
      </c>
      <c r="AK364" s="9">
        <f>(W364-W361)/W361*100</f>
        <v>5.4945054945051822E-2</v>
      </c>
      <c r="AL364" s="9">
        <f>(X364-X361)/X361*100</f>
        <v>0.75187969924811038</v>
      </c>
      <c r="AM364" s="9">
        <f>(Y364-Y361)/Y361*100</f>
        <v>1.1519473395501889</v>
      </c>
      <c r="AN364" s="9">
        <f>(Z364-Z361)/Z361*100</f>
        <v>0.36674816625916523</v>
      </c>
      <c r="AO364" s="9">
        <f>(AB364-AB361)/AB361*100</f>
        <v>0.40160642570280469</v>
      </c>
      <c r="AP364" s="9">
        <f>(AC364-AC361)/AC361*100</f>
        <v>1.343784994400899</v>
      </c>
      <c r="AQ364" s="9">
        <f>(AE364-AE361)/AE361*100</f>
        <v>0.39660056657223147</v>
      </c>
    </row>
    <row r="365" spans="1:43" hidden="1"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c r="Q365">
        <v>174.8</v>
      </c>
      <c r="R365">
        <v>198.4</v>
      </c>
      <c r="S365">
        <v>190</v>
      </c>
      <c r="T365">
        <v>187</v>
      </c>
      <c r="U365">
        <v>189.6</v>
      </c>
      <c r="V365" t="s">
        <v>32</v>
      </c>
      <c r="W365">
        <v>181.4</v>
      </c>
      <c r="X365">
        <v>178.6</v>
      </c>
      <c r="Y365">
        <v>186.6</v>
      </c>
      <c r="Z365">
        <v>169</v>
      </c>
      <c r="AA365">
        <v>172.8</v>
      </c>
      <c r="AB365">
        <v>178.5</v>
      </c>
      <c r="AC365">
        <v>180.7</v>
      </c>
      <c r="AD365">
        <v>177.9</v>
      </c>
      <c r="AE365">
        <v>178</v>
      </c>
    </row>
    <row r="366" spans="1:43" hidden="1"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c r="Q366">
        <v>180.8</v>
      </c>
      <c r="R366">
        <v>202.7</v>
      </c>
      <c r="S366">
        <v>180.2</v>
      </c>
      <c r="T366">
        <v>167</v>
      </c>
      <c r="U366">
        <v>178.2</v>
      </c>
      <c r="V366">
        <v>173.5</v>
      </c>
      <c r="W366">
        <v>182.6</v>
      </c>
      <c r="X366">
        <v>169.2</v>
      </c>
      <c r="Y366">
        <v>180.8</v>
      </c>
      <c r="Z366">
        <v>159.80000000000001</v>
      </c>
      <c r="AA366">
        <v>168.4</v>
      </c>
      <c r="AB366">
        <v>172.5</v>
      </c>
      <c r="AC366">
        <v>181.5</v>
      </c>
      <c r="AD366">
        <v>170</v>
      </c>
      <c r="AE366">
        <v>176.3</v>
      </c>
    </row>
    <row r="367" spans="1:43" x14ac:dyDescent="0.3">
      <c r="A367" t="s">
        <v>34</v>
      </c>
      <c r="B367">
        <v>2023</v>
      </c>
      <c r="C367" s="19" t="s">
        <v>36</v>
      </c>
      <c r="D367">
        <v>174.4</v>
      </c>
      <c r="E367">
        <v>207.7</v>
      </c>
      <c r="F367">
        <v>175.2</v>
      </c>
      <c r="G367">
        <v>177.3</v>
      </c>
      <c r="H367">
        <v>179.2</v>
      </c>
      <c r="I367">
        <v>169.5</v>
      </c>
      <c r="J367">
        <v>152.80000000000001</v>
      </c>
      <c r="K367">
        <v>171.1</v>
      </c>
      <c r="L367">
        <v>120</v>
      </c>
      <c r="M367">
        <v>209.7</v>
      </c>
      <c r="N367">
        <v>172.3</v>
      </c>
      <c r="O367">
        <v>193</v>
      </c>
      <c r="P367" s="19" t="str">
        <f>_xlfn.CONCAT(C367, " ",B367)</f>
        <v>March 2023</v>
      </c>
      <c r="Q367">
        <v>177</v>
      </c>
      <c r="R367">
        <v>199.5</v>
      </c>
      <c r="S367">
        <v>186.1</v>
      </c>
      <c r="T367">
        <v>178.7</v>
      </c>
      <c r="U367">
        <v>185.1</v>
      </c>
      <c r="V367">
        <v>173.5</v>
      </c>
      <c r="W367">
        <v>181.9</v>
      </c>
      <c r="X367">
        <v>174.2</v>
      </c>
      <c r="Y367">
        <v>184.4</v>
      </c>
      <c r="Z367">
        <v>164.2</v>
      </c>
      <c r="AA367">
        <v>170.3</v>
      </c>
      <c r="AB367">
        <v>175</v>
      </c>
      <c r="AC367">
        <v>181</v>
      </c>
      <c r="AD367">
        <v>174.1</v>
      </c>
      <c r="AE367">
        <v>177.2</v>
      </c>
      <c r="AF367" s="18">
        <v>78.540000000000006</v>
      </c>
      <c r="AG367" s="9">
        <f>(AF367-AF364)/AF364*100</f>
        <v>-4.5454545454545396</v>
      </c>
      <c r="AH367" s="9">
        <f>(Q367-Q364)/Q364*100</f>
        <v>0</v>
      </c>
      <c r="AI367" s="9">
        <f>(U367-U364)/U364*100</f>
        <v>0</v>
      </c>
      <c r="AJ367" s="9">
        <f>(V367-V364)/V364*100</f>
        <v>0</v>
      </c>
      <c r="AK367" s="9">
        <f>(W367-W364)/W364*100</f>
        <v>-0.10982976386600145</v>
      </c>
      <c r="AL367" s="9">
        <f>(X367-X364)/X364*100</f>
        <v>0</v>
      </c>
      <c r="AM367" s="9">
        <f>(Y367-Y364)/Y364*100</f>
        <v>0</v>
      </c>
      <c r="AN367" s="9">
        <f>(Z367-Z364)/Z364*100</f>
        <v>0</v>
      </c>
      <c r="AO367" s="9">
        <f>(AB367-AB364)/AB364*100</f>
        <v>0</v>
      </c>
      <c r="AP367" s="9">
        <f>(AC367-AC364)/AC364*100</f>
        <v>0</v>
      </c>
      <c r="AQ367" s="9">
        <f>(AE367-AE364)/AE364*100</f>
        <v>0</v>
      </c>
    </row>
    <row r="368" spans="1:43" hidden="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c r="Q368">
        <v>175.5</v>
      </c>
      <c r="R368">
        <v>199.5</v>
      </c>
      <c r="S368">
        <v>190.7</v>
      </c>
      <c r="T368">
        <v>187.3</v>
      </c>
      <c r="U368">
        <v>190.2</v>
      </c>
      <c r="V368" t="s">
        <v>48</v>
      </c>
      <c r="W368">
        <v>181.5</v>
      </c>
      <c r="X368">
        <v>179.1</v>
      </c>
      <c r="Y368">
        <v>187.2</v>
      </c>
      <c r="Z368">
        <v>169.4</v>
      </c>
      <c r="AA368">
        <v>173.2</v>
      </c>
      <c r="AB368">
        <v>179.4</v>
      </c>
      <c r="AC368">
        <v>183.8</v>
      </c>
      <c r="AD368">
        <v>178.9</v>
      </c>
      <c r="AE368">
        <v>178.8</v>
      </c>
    </row>
    <row r="369" spans="1:43" hidden="1"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c r="Q369">
        <v>182.1</v>
      </c>
      <c r="R369">
        <v>203.5</v>
      </c>
      <c r="S369">
        <v>181</v>
      </c>
      <c r="T369">
        <v>167.7</v>
      </c>
      <c r="U369">
        <v>178.9</v>
      </c>
      <c r="V369">
        <v>175.2</v>
      </c>
      <c r="W369">
        <v>182.1</v>
      </c>
      <c r="X369">
        <v>169.6</v>
      </c>
      <c r="Y369">
        <v>181.5</v>
      </c>
      <c r="Z369">
        <v>160.1</v>
      </c>
      <c r="AA369">
        <v>168.8</v>
      </c>
      <c r="AB369">
        <v>174.2</v>
      </c>
      <c r="AC369">
        <v>184.4</v>
      </c>
      <c r="AD369">
        <v>170.9</v>
      </c>
      <c r="AE369">
        <v>177.4</v>
      </c>
    </row>
    <row r="370" spans="1:43" x14ac:dyDescent="0.3">
      <c r="A370" t="s">
        <v>34</v>
      </c>
      <c r="B370">
        <v>2023</v>
      </c>
      <c r="C370" s="19" t="s">
        <v>37</v>
      </c>
      <c r="D370">
        <v>173.8</v>
      </c>
      <c r="E370">
        <v>209.3</v>
      </c>
      <c r="F370">
        <v>169.6</v>
      </c>
      <c r="G370">
        <v>178.4</v>
      </c>
      <c r="H370">
        <v>174.9</v>
      </c>
      <c r="I370">
        <v>176.3</v>
      </c>
      <c r="J370">
        <v>155.4</v>
      </c>
      <c r="K370">
        <v>173.4</v>
      </c>
      <c r="L370">
        <v>121.3</v>
      </c>
      <c r="M370">
        <v>212.9</v>
      </c>
      <c r="N370">
        <v>172.9</v>
      </c>
      <c r="O370">
        <v>193.5</v>
      </c>
      <c r="P370" s="19" t="str">
        <f>_xlfn.CONCAT(C370, " ",B370)</f>
        <v>April 2023</v>
      </c>
      <c r="Q370">
        <v>177.9</v>
      </c>
      <c r="R370">
        <v>200.6</v>
      </c>
      <c r="S370">
        <v>186.9</v>
      </c>
      <c r="T370">
        <v>179.2</v>
      </c>
      <c r="U370">
        <v>185.7</v>
      </c>
      <c r="V370">
        <v>175.2</v>
      </c>
      <c r="W370">
        <v>181.7</v>
      </c>
      <c r="X370">
        <v>174.6</v>
      </c>
      <c r="Y370">
        <v>185</v>
      </c>
      <c r="Z370">
        <v>164.5</v>
      </c>
      <c r="AA370">
        <v>170.7</v>
      </c>
      <c r="AB370">
        <v>176.4</v>
      </c>
      <c r="AC370">
        <v>184</v>
      </c>
      <c r="AD370">
        <v>175</v>
      </c>
      <c r="AE370">
        <v>178.1</v>
      </c>
      <c r="AF370" s="17">
        <v>102.97</v>
      </c>
      <c r="AG370" s="9">
        <f>(AF370-AF367)/AF367*100</f>
        <v>31.105169340463444</v>
      </c>
      <c r="AH370" s="9">
        <f>(Q370-Q367)/Q367*100</f>
        <v>0.50847457627118964</v>
      </c>
      <c r="AI370" s="9">
        <f>(U370-U367)/U367*100</f>
        <v>0.32414910858994833</v>
      </c>
      <c r="AJ370" s="9">
        <f>(V370-V367)/V367*100</f>
        <v>0.97982708933716922</v>
      </c>
      <c r="AK370" s="9">
        <f>(W370-W367)/W367*100</f>
        <v>-0.10995052226499014</v>
      </c>
      <c r="AL370" s="9">
        <f>(X370-X367)/X367*100</f>
        <v>0.22962112514351646</v>
      </c>
      <c r="AM370" s="9">
        <f>(Y370-Y367)/Y367*100</f>
        <v>0.32537960954446543</v>
      </c>
      <c r="AN370" s="9">
        <f>(Z370-Z367)/Z367*100</f>
        <v>0.18270401948843568</v>
      </c>
      <c r="AO370" s="9">
        <f>(AB370-AB367)/AB367*100</f>
        <v>0.80000000000000326</v>
      </c>
      <c r="AP370" s="9">
        <f>(AC370-AC367)/AC367*100</f>
        <v>1.6574585635359116</v>
      </c>
      <c r="AQ370" s="9">
        <f>(AE370-AE367)/AE367*100</f>
        <v>0.50790067720090615</v>
      </c>
    </row>
    <row r="371" spans="1:43" hidden="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c r="Q371">
        <v>176.8</v>
      </c>
      <c r="R371">
        <v>199.9</v>
      </c>
      <c r="S371">
        <v>191.2</v>
      </c>
      <c r="T371">
        <v>187.9</v>
      </c>
      <c r="U371">
        <v>190.8</v>
      </c>
      <c r="V371" t="s">
        <v>48</v>
      </c>
      <c r="W371">
        <v>182.5</v>
      </c>
      <c r="X371">
        <v>179.8</v>
      </c>
      <c r="Y371">
        <v>187.8</v>
      </c>
      <c r="Z371">
        <v>169.7</v>
      </c>
      <c r="AA371">
        <v>173.8</v>
      </c>
      <c r="AB371">
        <v>180.3</v>
      </c>
      <c r="AC371">
        <v>184.9</v>
      </c>
      <c r="AD371">
        <v>179.5</v>
      </c>
      <c r="AE371">
        <v>179.8</v>
      </c>
    </row>
    <row r="372" spans="1:43" hidden="1"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c r="Q372">
        <v>183.1</v>
      </c>
      <c r="R372">
        <v>204.2</v>
      </c>
      <c r="S372">
        <v>181.3</v>
      </c>
      <c r="T372">
        <v>168.1</v>
      </c>
      <c r="U372">
        <v>179.3</v>
      </c>
      <c r="V372">
        <v>175.6</v>
      </c>
      <c r="W372">
        <v>183.4</v>
      </c>
      <c r="X372">
        <v>170.1</v>
      </c>
      <c r="Y372">
        <v>182.2</v>
      </c>
      <c r="Z372">
        <v>160.4</v>
      </c>
      <c r="AA372">
        <v>169.2</v>
      </c>
      <c r="AB372">
        <v>174.8</v>
      </c>
      <c r="AC372">
        <v>185.6</v>
      </c>
      <c r="AD372">
        <v>171.6</v>
      </c>
      <c r="AE372">
        <v>178.2</v>
      </c>
    </row>
    <row r="373" spans="1:43" x14ac:dyDescent="0.3">
      <c r="A373" t="s">
        <v>34</v>
      </c>
      <c r="B373">
        <v>2023</v>
      </c>
      <c r="C373" s="19" t="s">
        <v>38</v>
      </c>
      <c r="D373">
        <v>173.7</v>
      </c>
      <c r="E373">
        <v>214.3</v>
      </c>
      <c r="F373">
        <v>173.2</v>
      </c>
      <c r="G373">
        <v>179.5</v>
      </c>
      <c r="H373">
        <v>170</v>
      </c>
      <c r="I373">
        <v>172.2</v>
      </c>
      <c r="J373">
        <v>161</v>
      </c>
      <c r="K373">
        <v>175.6</v>
      </c>
      <c r="L373">
        <v>122.7</v>
      </c>
      <c r="M373">
        <v>218</v>
      </c>
      <c r="N373">
        <v>173.4</v>
      </c>
      <c r="O373">
        <v>194.2</v>
      </c>
      <c r="P373" s="19" t="str">
        <f>_xlfn.CONCAT(C373, " ",B373)</f>
        <v>May 2023</v>
      </c>
      <c r="Q373">
        <v>179.1</v>
      </c>
      <c r="R373">
        <v>201</v>
      </c>
      <c r="S373">
        <v>187.3</v>
      </c>
      <c r="T373">
        <v>179.7</v>
      </c>
      <c r="U373">
        <v>186.2</v>
      </c>
      <c r="V373">
        <v>175.6</v>
      </c>
      <c r="W373">
        <v>182.8</v>
      </c>
      <c r="X373">
        <v>175.2</v>
      </c>
      <c r="Y373">
        <v>185.7</v>
      </c>
      <c r="Z373">
        <v>164.8</v>
      </c>
      <c r="AA373">
        <v>171.2</v>
      </c>
      <c r="AB373">
        <v>177.1</v>
      </c>
      <c r="AC373">
        <v>185.2</v>
      </c>
      <c r="AD373">
        <v>175.7</v>
      </c>
      <c r="AE373">
        <v>179.1</v>
      </c>
      <c r="AF373" s="18">
        <v>109.51</v>
      </c>
      <c r="AG373" s="9">
        <f>(AF373-AF370)/AF370*100</f>
        <v>6.3513644750898379</v>
      </c>
      <c r="AH373" s="9">
        <f>(Q373-Q370)/Q370*100</f>
        <v>0.6745362563237709</v>
      </c>
      <c r="AI373" s="9">
        <f>(U373-U370)/U370*100</f>
        <v>0.26925148088314488</v>
      </c>
      <c r="AJ373" s="9">
        <f>(V373-V370)/V370*100</f>
        <v>0.22831050228310826</v>
      </c>
      <c r="AK373" s="9">
        <f>(W373-W370)/W370*100</f>
        <v>0.60539350577876871</v>
      </c>
      <c r="AL373" s="9">
        <f>(X373-X370)/X370*100</f>
        <v>0.34364261168384552</v>
      </c>
      <c r="AM373" s="9">
        <f>(Y373-Y370)/Y370*100</f>
        <v>0.37837837837837224</v>
      </c>
      <c r="AN373" s="9">
        <f>(Z373-Z370)/Z370*100</f>
        <v>0.18237082066869992</v>
      </c>
      <c r="AO373" s="9">
        <f>(AB373-AB370)/AB370*100</f>
        <v>0.39682539682539036</v>
      </c>
      <c r="AP373" s="9">
        <f>(AC373-AC370)/AC370*100</f>
        <v>0.65217391304347205</v>
      </c>
      <c r="AQ373" s="9">
        <f>(AE373-AE370)/AE370*100</f>
        <v>0.56148231330713083</v>
      </c>
    </row>
  </sheetData>
  <autoFilter ref="A1:AF373" xr:uid="{2FF6172F-93D7-4682-94BE-EEDE200FF4EA}">
    <filterColumn colId="0">
      <filters>
        <filter val="Rural+Urban"/>
      </filters>
    </filterColumn>
    <filterColumn colId="1">
      <filters>
        <filter val="2021"/>
        <filter val="2022"/>
        <filter val="2023"/>
      </filters>
    </filterColumn>
    <sortState xmlns:xlrd2="http://schemas.microsoft.com/office/spreadsheetml/2017/richdata2" ref="A289:AF373">
      <sortCondition ref="B1:B373"/>
    </sortState>
  </autoFilter>
  <sortState xmlns:xlrd2="http://schemas.microsoft.com/office/spreadsheetml/2017/richdata2" ref="A289:AG373">
    <sortCondition ref="P2:P373" customList="Jan,Feb,Mar,Apr,May,Jun,Jul,Aug,Sep,Oct,Nov,Dec"/>
  </sortState>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C5482-6CA4-4A45-A694-12F28E4C0BE2}">
  <dimension ref="A2:M101"/>
  <sheetViews>
    <sheetView showGridLines="0" tabSelected="1" zoomScale="85" zoomScaleNormal="85" workbookViewId="0">
      <selection activeCell="X18" sqref="X18"/>
    </sheetView>
  </sheetViews>
  <sheetFormatPr defaultRowHeight="14.4" x14ac:dyDescent="0.3"/>
  <sheetData>
    <row r="2" spans="7:7" ht="36.6" x14ac:dyDescent="0.7">
      <c r="G2" s="25" t="s">
        <v>182</v>
      </c>
    </row>
    <row r="32" spans="12:12" ht="18" x14ac:dyDescent="0.3">
      <c r="L32" s="22" t="s">
        <v>55</v>
      </c>
    </row>
    <row r="33" spans="1:12" ht="18" x14ac:dyDescent="0.3">
      <c r="A33" s="22" t="s">
        <v>55</v>
      </c>
      <c r="L33" s="23"/>
    </row>
    <row r="34" spans="1:12" x14ac:dyDescent="0.3">
      <c r="A34" s="23"/>
      <c r="L34" s="23" t="s">
        <v>156</v>
      </c>
    </row>
    <row r="35" spans="1:12" x14ac:dyDescent="0.3">
      <c r="A35" s="23" t="s">
        <v>151</v>
      </c>
      <c r="L35" s="23" t="s">
        <v>157</v>
      </c>
    </row>
    <row r="36" spans="1:12" x14ac:dyDescent="0.3">
      <c r="A36" s="23" t="s">
        <v>152</v>
      </c>
      <c r="L36" s="23" t="s">
        <v>158</v>
      </c>
    </row>
    <row r="37" spans="1:12" x14ac:dyDescent="0.3">
      <c r="A37" s="23" t="s">
        <v>153</v>
      </c>
      <c r="L37" s="23" t="s">
        <v>159</v>
      </c>
    </row>
    <row r="38" spans="1:12" x14ac:dyDescent="0.3">
      <c r="A38" s="23" t="s">
        <v>154</v>
      </c>
      <c r="L38" s="23" t="s">
        <v>160</v>
      </c>
    </row>
    <row r="39" spans="1:12" x14ac:dyDescent="0.3">
      <c r="A39" s="23" t="s">
        <v>155</v>
      </c>
      <c r="L39" s="24" t="s">
        <v>161</v>
      </c>
    </row>
    <row r="40" spans="1:12" x14ac:dyDescent="0.3">
      <c r="L40" t="s">
        <v>162</v>
      </c>
    </row>
    <row r="62" spans="2:2" ht="18" x14ac:dyDescent="0.3">
      <c r="B62" s="22" t="s">
        <v>55</v>
      </c>
    </row>
    <row r="63" spans="2:2" x14ac:dyDescent="0.3">
      <c r="B63" s="23"/>
    </row>
    <row r="64" spans="2:2" x14ac:dyDescent="0.3">
      <c r="B64" s="23" t="s">
        <v>163</v>
      </c>
    </row>
    <row r="65" spans="2:2" x14ac:dyDescent="0.3">
      <c r="B65" s="23" t="s">
        <v>164</v>
      </c>
    </row>
    <row r="66" spans="2:2" x14ac:dyDescent="0.3">
      <c r="B66" s="23" t="s">
        <v>165</v>
      </c>
    </row>
    <row r="67" spans="2:2" x14ac:dyDescent="0.3">
      <c r="B67" s="23" t="s">
        <v>166</v>
      </c>
    </row>
    <row r="68" spans="2:2" x14ac:dyDescent="0.3">
      <c r="B68" s="23" t="s">
        <v>167</v>
      </c>
    </row>
    <row r="87" spans="2:2" ht="18" x14ac:dyDescent="0.3">
      <c r="B87" s="22" t="s">
        <v>55</v>
      </c>
    </row>
    <row r="88" spans="2:2" x14ac:dyDescent="0.3">
      <c r="B88" s="23"/>
    </row>
    <row r="89" spans="2:2" x14ac:dyDescent="0.3">
      <c r="B89" s="23" t="s">
        <v>168</v>
      </c>
    </row>
    <row r="90" spans="2:2" x14ac:dyDescent="0.3">
      <c r="B90" s="23" t="s">
        <v>169</v>
      </c>
    </row>
    <row r="91" spans="2:2" x14ac:dyDescent="0.3">
      <c r="B91" s="23" t="s">
        <v>170</v>
      </c>
    </row>
    <row r="92" spans="2:2" x14ac:dyDescent="0.3">
      <c r="B92" s="23" t="s">
        <v>171</v>
      </c>
    </row>
    <row r="93" spans="2:2" x14ac:dyDescent="0.3">
      <c r="B93" s="23" t="s">
        <v>172</v>
      </c>
    </row>
    <row r="94" spans="2:2" x14ac:dyDescent="0.3">
      <c r="B94" s="23" t="s">
        <v>173</v>
      </c>
    </row>
    <row r="98" spans="13:13" ht="18" x14ac:dyDescent="0.3">
      <c r="M98" s="22" t="s">
        <v>174</v>
      </c>
    </row>
    <row r="99" spans="13:13" x14ac:dyDescent="0.3">
      <c r="M99" s="23"/>
    </row>
    <row r="100" spans="13:13" x14ac:dyDescent="0.3">
      <c r="M100" s="23" t="s">
        <v>175</v>
      </c>
    </row>
    <row r="101" spans="13:13" x14ac:dyDescent="0.3">
      <c r="M101" s="23" t="s">
        <v>176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CPI index</vt:lpstr>
      <vt:lpstr>Data Dictionary</vt:lpstr>
      <vt:lpstr>Problem Statement</vt:lpstr>
      <vt:lpstr>Chart 1</vt:lpstr>
      <vt:lpstr>Chart 2</vt:lpstr>
      <vt:lpstr>Chart 3.1</vt:lpstr>
      <vt:lpstr>Chart 3.2</vt:lpstr>
      <vt:lpstr>Chart 4.1</vt:lpstr>
      <vt:lpstr>Chart 4.2</vt:lpstr>
      <vt:lpstr>Chart 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nisha.sharma</dc:creator>
  <cp:lastModifiedBy>Nisha. sharma</cp:lastModifiedBy>
  <dcterms:created xsi:type="dcterms:W3CDTF">2026-09-23T00:55:39Z</dcterms:created>
  <dcterms:modified xsi:type="dcterms:W3CDTF">2026-09-24T01:13:40Z</dcterms:modified>
</cp:coreProperties>
</file>